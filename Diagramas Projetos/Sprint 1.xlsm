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Witally\Documents\Diagramas PGW\Diagramas Projetos\"/>
    </mc:Choice>
  </mc:AlternateContent>
  <bookViews>
    <workbookView xWindow="0" yWindow="0" windowWidth="20490" windowHeight="7530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_xlnm.Print_Area" localSheetId="2">Capacity!$A$4:$AB$33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B15" i="9" l="1"/>
  <c r="B22" i="9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O25" i="7" s="1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43" i="7" l="1"/>
  <c r="R43" i="7" s="1"/>
  <c r="U43" i="7" s="1"/>
  <c r="X43" i="7" s="1"/>
  <c r="AA43" i="7" s="1"/>
  <c r="O60" i="7"/>
  <c r="R60" i="7" s="1"/>
  <c r="O44" i="7"/>
  <c r="R44" i="7" s="1"/>
  <c r="U44" i="7" s="1"/>
  <c r="G44" i="7"/>
  <c r="X44" i="7"/>
  <c r="AA44" i="7" s="1"/>
  <c r="G43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9" i="7"/>
  <c r="O57" i="7"/>
  <c r="O55" i="7"/>
  <c r="R55" i="7" s="1"/>
  <c r="U55" i="7" s="1"/>
  <c r="G55" i="7" s="1"/>
  <c r="O53" i="7"/>
  <c r="O51" i="7"/>
  <c r="R51" i="7" s="1"/>
  <c r="U51" i="7" s="1"/>
  <c r="G51" i="7" s="1"/>
  <c r="O58" i="7"/>
  <c r="O56" i="7"/>
  <c r="R56" i="7" s="1"/>
  <c r="U56" i="7" s="1"/>
  <c r="G56" i="7" s="1"/>
  <c r="O54" i="7"/>
  <c r="R53" i="7"/>
  <c r="O52" i="7"/>
  <c r="O50" i="7"/>
  <c r="R50" i="7" s="1"/>
  <c r="O48" i="7"/>
  <c r="R48" i="7" s="1"/>
  <c r="O46" i="7"/>
  <c r="O42" i="7"/>
  <c r="R41" i="7"/>
  <c r="O40" i="7"/>
  <c r="O38" i="7"/>
  <c r="O36" i="7"/>
  <c r="O34" i="7"/>
  <c r="O32" i="7"/>
  <c r="O30" i="7"/>
  <c r="O28" i="7"/>
  <c r="O26" i="7"/>
  <c r="O24" i="7"/>
  <c r="O7" i="7"/>
  <c r="R7" i="7" s="1"/>
  <c r="U7" i="7" s="1"/>
  <c r="G7" i="7" s="1"/>
  <c r="O5" i="7"/>
  <c r="R23" i="7"/>
  <c r="O22" i="7"/>
  <c r="R22" i="7" s="1"/>
  <c r="U22" i="7" s="1"/>
  <c r="G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G8" i="7" s="1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54" i="7"/>
  <c r="R52" i="7"/>
  <c r="U52" i="7" s="1"/>
  <c r="G52" i="7" s="1"/>
  <c r="R46" i="7"/>
  <c r="U46" i="7" s="1"/>
  <c r="G46" i="7" s="1"/>
  <c r="R28" i="7"/>
  <c r="U28" i="7" s="1"/>
  <c r="G28" i="7" s="1"/>
  <c r="R25" i="7"/>
  <c r="R24" i="7"/>
  <c r="R18" i="7"/>
  <c r="U18" i="7" s="1"/>
  <c r="G18" i="7" s="1"/>
  <c r="O6" i="7"/>
  <c r="R21" i="7"/>
  <c r="O20" i="7"/>
  <c r="R17" i="7"/>
  <c r="O16" i="7"/>
  <c r="O11" i="7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R15" i="7" l="1"/>
  <c r="U15" i="7" s="1"/>
  <c r="R33" i="7"/>
  <c r="R39" i="7"/>
  <c r="U39" i="7" s="1"/>
  <c r="R19" i="7"/>
  <c r="U19" i="7" s="1"/>
  <c r="R29" i="7"/>
  <c r="R37" i="7"/>
  <c r="R47" i="7"/>
  <c r="R31" i="7"/>
  <c r="U53" i="7"/>
  <c r="R13" i="7"/>
  <c r="G53" i="7"/>
  <c r="X53" i="7"/>
  <c r="U60" i="7"/>
  <c r="R59" i="7"/>
  <c r="U59" i="7" s="1"/>
  <c r="R5" i="7"/>
  <c r="U5" i="7" s="1"/>
  <c r="G5" i="7" s="1"/>
  <c r="R27" i="7"/>
  <c r="R35" i="7"/>
  <c r="R45" i="7"/>
  <c r="U45" i="7" s="1"/>
  <c r="R57" i="7"/>
  <c r="U14" i="7"/>
  <c r="G14" i="7" s="1"/>
  <c r="U35" i="7"/>
  <c r="AD43" i="7"/>
  <c r="AD44" i="7"/>
  <c r="AG44" i="7" s="1"/>
  <c r="G15" i="7"/>
  <c r="X15" i="7"/>
  <c r="AA15" i="7" s="1"/>
  <c r="AD15" i="7" s="1"/>
  <c r="AG15" i="7" s="1"/>
  <c r="G45" i="7"/>
  <c r="G35" i="7"/>
  <c r="U25" i="7"/>
  <c r="G25" i="7" s="1"/>
  <c r="R11" i="7"/>
  <c r="U11" i="7" s="1"/>
  <c r="G11" i="7" s="1"/>
  <c r="U12" i="7"/>
  <c r="X8" i="7"/>
  <c r="AA8" i="7" s="1"/>
  <c r="U10" i="7"/>
  <c r="R20" i="7"/>
  <c r="X22" i="7"/>
  <c r="R26" i="7"/>
  <c r="U29" i="7"/>
  <c r="R34" i="7"/>
  <c r="R36" i="7"/>
  <c r="R42" i="7"/>
  <c r="R49" i="7"/>
  <c r="X46" i="7"/>
  <c r="AA46" i="7" s="1"/>
  <c r="U13" i="7"/>
  <c r="G13" i="7" s="1"/>
  <c r="U17" i="7"/>
  <c r="U21" i="7"/>
  <c r="G21" i="7" s="1"/>
  <c r="U37" i="7"/>
  <c r="U41" i="7"/>
  <c r="U47" i="7"/>
  <c r="R58" i="7"/>
  <c r="G60" i="7"/>
  <c r="X60" i="7"/>
  <c r="AA60" i="7" s="1"/>
  <c r="X10" i="7"/>
  <c r="U9" i="7"/>
  <c r="X9" i="7" s="1"/>
  <c r="AA9" i="7" s="1"/>
  <c r="U27" i="7"/>
  <c r="R32" i="7"/>
  <c r="R38" i="7"/>
  <c r="U48" i="7"/>
  <c r="U50" i="7"/>
  <c r="X51" i="7"/>
  <c r="U54" i="7"/>
  <c r="X55" i="7"/>
  <c r="X7" i="7"/>
  <c r="AA7" i="7" s="1"/>
  <c r="U20" i="7"/>
  <c r="G20" i="7" s="1"/>
  <c r="AA22" i="7"/>
  <c r="R6" i="7"/>
  <c r="R16" i="7"/>
  <c r="X18" i="7"/>
  <c r="U24" i="7"/>
  <c r="X28" i="7"/>
  <c r="R30" i="7"/>
  <c r="U33" i="7"/>
  <c r="R40" i="7"/>
  <c r="AG43" i="7"/>
  <c r="X48" i="7"/>
  <c r="X52" i="7"/>
  <c r="AA53" i="7"/>
  <c r="X56" i="7"/>
  <c r="U23" i="7"/>
  <c r="R61" i="7"/>
  <c r="U61" i="7" s="1"/>
  <c r="X61" i="7" s="1"/>
  <c r="AA61" i="7" s="1"/>
  <c r="U31" i="7" l="1"/>
  <c r="G31" i="7" s="1"/>
  <c r="X25" i="7"/>
  <c r="X45" i="7"/>
  <c r="AA10" i="7"/>
  <c r="AD10" i="7" s="1"/>
  <c r="G59" i="7"/>
  <c r="X59" i="7"/>
  <c r="X35" i="7"/>
  <c r="AA35" i="7" s="1"/>
  <c r="AD35" i="7" s="1"/>
  <c r="U57" i="7"/>
  <c r="AA45" i="7"/>
  <c r="AD45" i="7" s="1"/>
  <c r="X5" i="7"/>
  <c r="AA5" i="7" s="1"/>
  <c r="X21" i="7"/>
  <c r="AA21" i="7" s="1"/>
  <c r="X13" i="7"/>
  <c r="AA13" i="7" s="1"/>
  <c r="AA59" i="7"/>
  <c r="X11" i="7"/>
  <c r="X14" i="7"/>
  <c r="AA14" i="7" s="1"/>
  <c r="AD60" i="7"/>
  <c r="AG60" i="7" s="1"/>
  <c r="G23" i="7"/>
  <c r="X23" i="7"/>
  <c r="AA23" i="7" s="1"/>
  <c r="G19" i="7"/>
  <c r="X19" i="7"/>
  <c r="AA19" i="7" s="1"/>
  <c r="U30" i="7"/>
  <c r="G30" i="7" s="1"/>
  <c r="G54" i="7"/>
  <c r="G48" i="7"/>
  <c r="U32" i="7"/>
  <c r="G9" i="7"/>
  <c r="AD9" i="7"/>
  <c r="G47" i="7"/>
  <c r="X47" i="7"/>
  <c r="G39" i="7"/>
  <c r="X39" i="7"/>
  <c r="AA39" i="7" s="1"/>
  <c r="G17" i="7"/>
  <c r="AD46" i="7"/>
  <c r="AG46" i="7" s="1"/>
  <c r="U42" i="7"/>
  <c r="U36" i="7"/>
  <c r="X36" i="7" s="1"/>
  <c r="G29" i="7"/>
  <c r="X29" i="7"/>
  <c r="U26" i="7"/>
  <c r="AD8" i="7"/>
  <c r="AG8" i="7" s="1"/>
  <c r="AA48" i="7"/>
  <c r="AD48" i="7" s="1"/>
  <c r="AA28" i="7"/>
  <c r="AD28" i="7" s="1"/>
  <c r="AG28" i="7" s="1"/>
  <c r="U6" i="7"/>
  <c r="G6" i="7" s="1"/>
  <c r="X20" i="7"/>
  <c r="AA20" i="7"/>
  <c r="AA55" i="7"/>
  <c r="AD55" i="7" s="1"/>
  <c r="AA51" i="7"/>
  <c r="AD51" i="7" s="1"/>
  <c r="AA56" i="7"/>
  <c r="AA52" i="7"/>
  <c r="X32" i="7"/>
  <c r="X17" i="7"/>
  <c r="AG10" i="7"/>
  <c r="AJ10" i="7" s="1"/>
  <c r="AJ44" i="7"/>
  <c r="AM44" i="7" s="1"/>
  <c r="AP44" i="7" s="1"/>
  <c r="U40" i="7"/>
  <c r="G33" i="7"/>
  <c r="X33" i="7"/>
  <c r="AA33" i="7" s="1"/>
  <c r="G24" i="7"/>
  <c r="X24" i="7"/>
  <c r="AD7" i="7"/>
  <c r="AG7" i="7" s="1"/>
  <c r="AJ7" i="7" s="1"/>
  <c r="G50" i="7"/>
  <c r="U38" i="7"/>
  <c r="X38" i="7" s="1"/>
  <c r="G27" i="7"/>
  <c r="X27" i="7"/>
  <c r="AA27" i="7" s="1"/>
  <c r="U58" i="7"/>
  <c r="G41" i="7"/>
  <c r="X41" i="7"/>
  <c r="G37" i="7"/>
  <c r="X37" i="7"/>
  <c r="AA37" i="7" s="1"/>
  <c r="U49" i="7"/>
  <c r="U34" i="7"/>
  <c r="G10" i="7"/>
  <c r="G12" i="7"/>
  <c r="X12" i="7"/>
  <c r="AD22" i="7"/>
  <c r="AA11" i="7"/>
  <c r="X58" i="7"/>
  <c r="X54" i="7"/>
  <c r="X50" i="7"/>
  <c r="AD53" i="7"/>
  <c r="AA18" i="7"/>
  <c r="AD18" i="7" s="1"/>
  <c r="U16" i="7"/>
  <c r="G16" i="7" s="1"/>
  <c r="AA25" i="7"/>
  <c r="AJ43" i="7"/>
  <c r="AJ15" i="7"/>
  <c r="AD61" i="7"/>
  <c r="X31" i="7" l="1"/>
  <c r="AD21" i="7"/>
  <c r="AD5" i="7"/>
  <c r="AG5" i="7" s="1"/>
  <c r="AG45" i="7"/>
  <c r="AJ45" i="7" s="1"/>
  <c r="AM45" i="7" s="1"/>
  <c r="AD14" i="7"/>
  <c r="AG14" i="7" s="1"/>
  <c r="AJ14" i="7" s="1"/>
  <c r="AG35" i="7"/>
  <c r="AJ35" i="7" s="1"/>
  <c r="G57" i="7"/>
  <c r="X57" i="7"/>
  <c r="X30" i="7"/>
  <c r="AA30" i="7" s="1"/>
  <c r="AD59" i="7"/>
  <c r="AG59" i="7" s="1"/>
  <c r="AJ59" i="7" s="1"/>
  <c r="AD13" i="7"/>
  <c r="AG13" i="7" s="1"/>
  <c r="AJ13" i="7" s="1"/>
  <c r="AS44" i="7"/>
  <c r="AV44" i="7" s="1"/>
  <c r="AY44" i="7" s="1"/>
  <c r="AA12" i="7"/>
  <c r="G34" i="7"/>
  <c r="G49" i="7"/>
  <c r="G58" i="7"/>
  <c r="G40" i="7"/>
  <c r="AG51" i="7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J28" i="7"/>
  <c r="AG21" i="7"/>
  <c r="AG22" i="7"/>
  <c r="AD24" i="7"/>
  <c r="AD25" i="7"/>
  <c r="AG25" i="7" s="1"/>
  <c r="AJ25" i="7" s="1"/>
  <c r="X40" i="7"/>
  <c r="X26" i="7"/>
  <c r="X42" i="7"/>
  <c r="AG9" i="7"/>
  <c r="AG48" i="7"/>
  <c r="AJ51" i="7"/>
  <c r="X6" i="7"/>
  <c r="AA6" i="7" s="1"/>
  <c r="AG18" i="7"/>
  <c r="AD52" i="7"/>
  <c r="AG52" i="7" s="1"/>
  <c r="AG53" i="7"/>
  <c r="AJ53" i="7" s="1"/>
  <c r="AM53" i="7" s="1"/>
  <c r="AP53" i="7" s="1"/>
  <c r="AS53" i="7" s="1"/>
  <c r="AV53" i="7" s="1"/>
  <c r="AY53" i="7" s="1"/>
  <c r="AD19" i="7"/>
  <c r="AJ60" i="7"/>
  <c r="AD37" i="7"/>
  <c r="AD27" i="7"/>
  <c r="G38" i="7"/>
  <c r="AA38" i="7"/>
  <c r="AD38" i="7" s="1"/>
  <c r="AA17" i="7"/>
  <c r="AD17" i="7" s="1"/>
  <c r="AG55" i="7"/>
  <c r="AJ55" i="7" s="1"/>
  <c r="G42" i="7"/>
  <c r="AA42" i="7"/>
  <c r="AD42" i="7" s="1"/>
  <c r="G32" i="7"/>
  <c r="AA32" i="7"/>
  <c r="AD32" i="7" s="1"/>
  <c r="AM43" i="7"/>
  <c r="AP43" i="7" s="1"/>
  <c r="AD23" i="7"/>
  <c r="X49" i="7"/>
  <c r="AA58" i="7"/>
  <c r="AG23" i="7"/>
  <c r="AM10" i="7"/>
  <c r="AP10" i="7" s="1"/>
  <c r="AD11" i="7"/>
  <c r="AA50" i="7"/>
  <c r="AA54" i="7"/>
  <c r="AM15" i="7"/>
  <c r="AA40" i="7"/>
  <c r="AD40" i="7" s="1"/>
  <c r="AA29" i="7"/>
  <c r="X16" i="7"/>
  <c r="AD56" i="7"/>
  <c r="AA41" i="7"/>
  <c r="AG61" i="7"/>
  <c r="AM13" i="7" l="1"/>
  <c r="AA31" i="7"/>
  <c r="AD31" i="7"/>
  <c r="AJ5" i="7"/>
  <c r="AM5" i="7" s="1"/>
  <c r="AG32" i="7"/>
  <c r="AJ32" i="7" s="1"/>
  <c r="AA57" i="7"/>
  <c r="AD57" i="7" s="1"/>
  <c r="AS10" i="7"/>
  <c r="AV10" i="7" s="1"/>
  <c r="AY10" i="7" s="1"/>
  <c r="AM39" i="7"/>
  <c r="AP39" i="7" s="1"/>
  <c r="AS39" i="7" s="1"/>
  <c r="AV39" i="7" s="1"/>
  <c r="AY39" i="7" s="1"/>
  <c r="AM55" i="7"/>
  <c r="AP55" i="7" s="1"/>
  <c r="AS55" i="7" s="1"/>
  <c r="AV55" i="7" s="1"/>
  <c r="AY55" i="7" s="1"/>
  <c r="BB53" i="7"/>
  <c r="BE53" i="7" s="1"/>
  <c r="BH53" i="7" s="1"/>
  <c r="CE53" i="7"/>
  <c r="CE44" i="7"/>
  <c r="BE44" i="7"/>
  <c r="BB44" i="7"/>
  <c r="BW44" i="7"/>
  <c r="BZ44" i="7" s="1"/>
  <c r="CC44" i="7"/>
  <c r="AP45" i="7"/>
  <c r="AS45" i="7" s="1"/>
  <c r="AV45" i="7" s="1"/>
  <c r="AY45" i="7" s="1"/>
  <c r="AG17" i="7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G50" i="7" s="1"/>
  <c r="AJ50" i="7" s="1"/>
  <c r="AM50" i="7" s="1"/>
  <c r="AP50" i="7" s="1"/>
  <c r="AS50" i="7" s="1"/>
  <c r="AV50" i="7" s="1"/>
  <c r="AY50" i="7" s="1"/>
  <c r="AJ23" i="7"/>
  <c r="AG56" i="7"/>
  <c r="AJ56" i="7" s="1"/>
  <c r="AM56" i="7" s="1"/>
  <c r="AP56" i="7" s="1"/>
  <c r="AS56" i="7" s="1"/>
  <c r="AV56" i="7" s="1"/>
  <c r="AY56" i="7" s="1"/>
  <c r="CC53" i="7"/>
  <c r="AG40" i="7"/>
  <c r="AJ40" i="7" s="1"/>
  <c r="AM40" i="7" s="1"/>
  <c r="AP40" i="7" s="1"/>
  <c r="AG38" i="7"/>
  <c r="AJ18" i="7"/>
  <c r="AD54" i="7"/>
  <c r="AS43" i="7"/>
  <c r="AP7" i="7"/>
  <c r="AS7" i="7" s="1"/>
  <c r="AV7" i="7" s="1"/>
  <c r="AY7" i="7" s="1"/>
  <c r="CE7" i="7" s="1"/>
  <c r="AD30" i="7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53" i="7"/>
  <c r="BN53" i="7" s="1"/>
  <c r="BQ53" i="7" s="1"/>
  <c r="BT53" i="7" s="1"/>
  <c r="BW53" i="7" s="1"/>
  <c r="BZ53" i="7" s="1"/>
  <c r="AG54" i="7"/>
  <c r="AJ54" i="7" s="1"/>
  <c r="AM54" i="7" s="1"/>
  <c r="AP54" i="7" s="1"/>
  <c r="AS54" i="7" s="1"/>
  <c r="AV54" i="7" s="1"/>
  <c r="AY54" i="7" s="1"/>
  <c r="CE54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V43" i="7"/>
  <c r="AY43" i="7" s="1"/>
  <c r="AP13" i="7"/>
  <c r="AS13" i="7" s="1"/>
  <c r="AV13" i="7" s="1"/>
  <c r="AY13" i="7" s="1"/>
  <c r="AJ61" i="7"/>
  <c r="AG31" i="7" l="1"/>
  <c r="AJ31" i="7" s="1"/>
  <c r="AM31" i="7" s="1"/>
  <c r="AP31" i="7" s="1"/>
  <c r="AS31" i="7" s="1"/>
  <c r="AV31" i="7" s="1"/>
  <c r="AY31" i="7" s="1"/>
  <c r="AM32" i="7"/>
  <c r="AP32" i="7" s="1"/>
  <c r="AG57" i="7"/>
  <c r="AJ57" i="7" s="1"/>
  <c r="AM57" i="7" s="1"/>
  <c r="AP57" i="7" s="1"/>
  <c r="AS57" i="7" s="1"/>
  <c r="AV57" i="7" s="1"/>
  <c r="AY57" i="7" s="1"/>
  <c r="CE57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35" i="7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H41" i="7"/>
  <c r="BK41" i="7" s="1"/>
  <c r="BN41" i="7" s="1"/>
  <c r="BQ41" i="7" s="1"/>
  <c r="BT41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AS32" i="7" l="1"/>
  <c r="AV32" i="7" s="1"/>
  <c r="AY32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W41" i="7"/>
  <c r="BZ41" i="7" s="1"/>
  <c r="CC41" i="7" s="1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28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CE42" i="7" l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AY34" i="7"/>
  <c r="CE34" i="7" s="1"/>
  <c r="CE30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24" i="9"/>
  <c r="B23" i="9"/>
  <c r="B21" i="9"/>
  <c r="B20" i="9"/>
  <c r="B19" i="9"/>
  <c r="B18" i="9"/>
  <c r="B17" i="9"/>
  <c r="B16" i="9"/>
  <c r="B14" i="9"/>
  <c r="B13" i="9"/>
  <c r="B12" i="9"/>
  <c r="B11" i="9"/>
  <c r="B10" i="9"/>
  <c r="B9" i="9"/>
  <c r="B2" i="9"/>
  <c r="B5" i="9"/>
  <c r="B4" i="9"/>
  <c r="B3" i="9"/>
  <c r="B25" i="9" l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9" i="9" l="1"/>
  <c r="C15" i="9"/>
  <c r="C20" i="9"/>
  <c r="C24" i="9"/>
  <c r="C12" i="9"/>
  <c r="C23" i="9"/>
  <c r="C19" i="9"/>
  <c r="C22" i="9"/>
  <c r="C16" i="9"/>
  <c r="C21" i="9"/>
  <c r="C17" i="9"/>
  <c r="C13" i="9"/>
  <c r="C18" i="9"/>
  <c r="C11" i="9"/>
  <c r="C10" i="9"/>
  <c r="C14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7" i="7"/>
  <c r="K6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67" i="7"/>
  <c r="O4" i="7"/>
  <c r="R4" i="7" s="1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G4" i="7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36" i="8"/>
  <c r="L28" i="8" l="1"/>
  <c r="AR67" i="7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25" i="8" l="1"/>
  <c r="R29" i="8" s="1"/>
  <c r="R32" i="8"/>
  <c r="Q27" i="8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<sst xmlns="http://schemas.openxmlformats.org/spreadsheetml/2006/main" count="300" uniqueCount="144">
  <si>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</si>
  <si>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</si>
  <si>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</si>
  <si>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</si>
  <si>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</si>
  <si>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</si>
  <si>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</si>
  <si>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</si>
  <si>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</si>
  <si>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</si>
  <si>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</si>
  <si>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</si>
  <si>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</si>
  <si>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</si>
  <si>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</si>
  <si>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</si>
  <si>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</si>
  <si>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</si>
  <si>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</si>
  <si>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</si>
  <si>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</si>
  <si>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</si>
  <si>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</si>
  <si>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</si>
  <si>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</si>
  <si>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</si>
  <si>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</si>
  <si>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</si>
  <si>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</si>
  <si>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</si>
  <si>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</si>
  <si>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</si>
  <si>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</si>
  <si>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</si>
  <si>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</si>
  <si>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</si>
  <si>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</si>
  <si>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</si>
  <si>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</si>
  <si>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</si>
  <si>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</si>
  <si>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</si>
  <si>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</si>
  <si>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</si>
  <si>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</si>
  <si>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</si>
  <si>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</si>
  <si>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</si>
  <si>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</si>
  <si>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</si>
  <si>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</si>
  <si>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</si>
  <si>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</si>
  <si>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</si>
  <si>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</si>
  <si>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</si>
  <si>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</si>
  <si>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</si>
  <si>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</si>
  <si>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</si>
  <si>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</si>
  <si>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</si>
  <si>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</si>
  <si>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</si>
  <si>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</si>
  <si>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</si>
  <si>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</si>
  <si>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</si>
  <si>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</si>
  <si>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</si>
  <si>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</si>
  <si>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</si>
  <si>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</si>
  <si>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</si>
  <si>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</si>
  <si>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</si>
  <si>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</si>
  <si>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</si>
  <si>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</si>
  <si>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</si>
  <si>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</si>
  <si>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</si>
  <si>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</si>
  <si>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</si>
  <si>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</si>
  <si>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</si>
  <si>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</si>
  <si>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</si>
  <si>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</si>
  <si>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</si>
  <si>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</si>
  <si>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</si>
  <si>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</si>
  <si>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</si>
  <si>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</si>
  <si>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</si>
  <si>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</si>
  <si>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</si>
  <si>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</si>
  <si>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</si>
  <si>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</si>
  <si>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</si>
  <si>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</si>
  <si>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</si>
  <si>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</si>
  <si>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</si>
  <si>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</si>
  <si>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</si>
  <si>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</si>
  <si>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</si>
  <si>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</si>
  <si>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</si>
  <si>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</si>
  <si>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</si>
  <si>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</si>
  <si>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</si>
  <si>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</si>
  <si>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</si>
  <si>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</si>
  <si>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</si>
  <si>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</si>
  <si>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</si>
  <si>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</si>
  <si>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</si>
  <si>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</si>
  <si>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</si>
  <si>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</si>
  <si>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</si>
  <si>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</si>
  <si>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</si>
  <si>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</si>
  <si>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</si>
  <si>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</si>
  <si>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Gilson Soares Sales</t>
  </si>
  <si>
    <t>Paulo Afonso Cardoso Franco</t>
  </si>
  <si>
    <t>Witally Lana Bitaraes</t>
  </si>
  <si>
    <t>gilsonsoares07@hotmail.com</t>
  </si>
  <si>
    <t>paulo_afonso2006@hotmail.com</t>
  </si>
  <si>
    <t>witally_bitaraes@hotmail.com</t>
  </si>
  <si>
    <t>Criacao do Diagrama de Casos de Uso</t>
  </si>
  <si>
    <t>Criacao do Documento de Requisitos CDU</t>
  </si>
  <si>
    <t xml:space="preserve">Criacao do Documento de Requisitos </t>
  </si>
  <si>
    <t>Diagrama de Classes Analise</t>
  </si>
  <si>
    <t>Diagrama de Sequencia Analise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</si>
</sst>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5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1" fillId="30" borderId="53" xfId="36" applyFill="1" applyBorder="1" applyAlignment="1" applyProtection="1">
      <alignment horizontal="left"/>
    </xf>
    <xf numFmtId="0" fontId="22" fillId="23" borderId="0" xfId="0" applyFont="1" applyFill="1" applyBorder="1" applyAlignment="1">
      <alignment horizontal="right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164" fontId="24" fillId="20" borderId="0" xfId="0" applyNumberFormat="1" applyFont="1" applyFill="1" applyAlignment="1">
      <alignment horizontal="center" vertic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i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E-46AB-BDD2-46B5531FF876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0E-46AB-BDD2-46B5531FF876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53</c:v>
                </c:pt>
                <c:pt idx="4">
                  <c:v>53</c:v>
                </c:pt>
                <c:pt idx="5">
                  <c:v>53</c:v>
                </c:pt>
                <c:pt idx="6">
                  <c:v>53</c:v>
                </c:pt>
                <c:pt idx="7">
                  <c:v>53</c:v>
                </c:pt>
                <c:pt idx="8">
                  <c:v>53</c:v>
                </c:pt>
                <c:pt idx="9">
                  <c:v>53</c:v>
                </c:pt>
                <c:pt idx="10">
                  <c:v>53</c:v>
                </c:pt>
                <c:pt idx="11">
                  <c:v>53</c:v>
                </c:pt>
                <c:pt idx="12">
                  <c:v>53</c:v>
                </c:pt>
                <c:pt idx="13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0E-46AB-BDD2-46B5531FF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105</c:v>
                </c:pt>
                <c:pt idx="13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CC-4773-AE71-D01A146F23D4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35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CC-4773-AE71-D01A146F23D4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CC-4773-AE71-D01A146F2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131</c:v>
                </c:pt>
                <c:pt idx="1">
                  <c:v>122</c:v>
                </c:pt>
                <c:pt idx="2">
                  <c:v>110</c:v>
                </c:pt>
                <c:pt idx="3">
                  <c:v>88</c:v>
                </c:pt>
                <c:pt idx="4">
                  <c:v>67</c:v>
                </c:pt>
                <c:pt idx="5">
                  <c:v>50</c:v>
                </c:pt>
                <c:pt idx="6">
                  <c:v>41</c:v>
                </c:pt>
                <c:pt idx="7">
                  <c:v>25</c:v>
                </c:pt>
                <c:pt idx="8">
                  <c:v>21</c:v>
                </c:pt>
                <c:pt idx="9">
                  <c:v>17</c:v>
                </c:pt>
                <c:pt idx="10">
                  <c:v>13</c:v>
                </c:pt>
                <c:pt idx="11">
                  <c:v>6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CC-4773-AE71-D01A146F23D4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9</c:v>
                </c:pt>
                <c:pt idx="1">
                  <c:v>18</c:v>
                </c:pt>
                <c:pt idx="2">
                  <c:v>30</c:v>
                </c:pt>
                <c:pt idx="3">
                  <c:v>52</c:v>
                </c:pt>
                <c:pt idx="4">
                  <c:v>73</c:v>
                </c:pt>
                <c:pt idx="5">
                  <c:v>90</c:v>
                </c:pt>
                <c:pt idx="6">
                  <c:v>99</c:v>
                </c:pt>
                <c:pt idx="7">
                  <c:v>115</c:v>
                </c:pt>
                <c:pt idx="8">
                  <c:v>119</c:v>
                </c:pt>
                <c:pt idx="9">
                  <c:v>123</c:v>
                </c:pt>
                <c:pt idx="10">
                  <c:v>127</c:v>
                </c:pt>
                <c:pt idx="11">
                  <c:v>134</c:v>
                </c:pt>
                <c:pt idx="12">
                  <c:v>137</c:v>
                </c:pt>
                <c:pt idx="13">
                  <c:v>140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B8CC-4773-AE71-D01A146F2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D1-49CB-95CB-2994A5FFE499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1-49CB-95CB-2994A5FFE499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D1-49CB-95CB-2994A5FFE499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D1-49CB-95CB-2994A5FFE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0-47FD-94E9-E8E433CE36A5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40-47FD-94E9-E8E433CE36A5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40-47FD-94E9-E8E433CE36A5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40-47FD-94E9-E8E433CE36A5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40-47FD-94E9-E8E433CE36A5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40-47FD-94E9-E8E433CE36A5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40-47FD-94E9-E8E433CE36A5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F40-47FD-94E9-E8E433CE36A5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F40-47FD-94E9-E8E433CE36A5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F40-47FD-94E9-E8E433CE36A5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40-47FD-94E9-E8E433CE36A5}"/>
            </c:ext>
          </c:extLst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F40-47FD-94E9-E8E433CE36A5}"/>
            </c:ext>
          </c:extLst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F40-47FD-94E9-E8E433CE36A5}"/>
            </c:ext>
          </c:extLst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F40-47FD-94E9-E8E433CE36A5}"/>
            </c:ext>
          </c:extLst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F40-47FD-94E9-E8E433CE36A5}"/>
            </c:ext>
          </c:extLst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F40-47FD-94E9-E8E433CE3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17-4238-ABA1-D8DF66346260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17-4238-ABA1-D8DF66346260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17-4238-ABA1-D8DF66346260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17-4238-ABA1-D8DF66346260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17-4238-ABA1-D8DF66346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1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1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>
          <a:extLst>
            <a:ext uri="{FF2B5EF4-FFF2-40B4-BE49-F238E27FC236}">
              <a16:creationId xmlns:a16="http://schemas.microsoft.com/office/drawing/2014/main" id="{00000000-0008-0000-0200-000080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>
          <a:extLst>
            <a:ext uri="{FF2B5EF4-FFF2-40B4-BE49-F238E27FC236}">
              <a16:creationId xmlns:a16="http://schemas.microsoft.com/office/drawing/2014/main" id="{00000000-0008-0000-0200-000081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witally_bitaraes@hotmail.com" TargetMode="External"/><Relationship Id="rId2" Type="http://schemas.openxmlformats.org/officeDocument/2006/relationships/hyperlink" Target="mailto:paulo_afonso2006@hotmail.com" TargetMode="External"/><Relationship Id="rId1" Type="http://schemas.openxmlformats.org/officeDocument/2006/relationships/hyperlink" Target="mailto:gilsonsoares07@hotmail.com" TargetMode="Externa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F8" sqref="F8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39314</v>
      </c>
      <c r="H1" s="1"/>
      <c r="I1" s="1"/>
      <c r="J1" s="192">
        <f>SprintStart</f>
        <v>39314</v>
      </c>
      <c r="K1" s="192"/>
      <c r="L1" s="192"/>
      <c r="M1" s="192">
        <f>IF(AND(SkipWeekends, WEEKDAY(J1)=6),J1+3, J1+1)</f>
        <v>39315</v>
      </c>
      <c r="N1" s="192"/>
      <c r="O1" s="192"/>
      <c r="P1" s="192">
        <f>IF(AND(SkipWeekends, WEEKDAY(M1)=6),M1+3, M1+1)</f>
        <v>39316</v>
      </c>
      <c r="Q1" s="192"/>
      <c r="R1" s="192"/>
      <c r="S1" s="192">
        <f>IF(AND(SkipWeekends, WEEKDAY(P1)=6),P1+3, P1+1)</f>
        <v>39317</v>
      </c>
      <c r="T1" s="192"/>
      <c r="U1" s="192"/>
      <c r="V1" s="192">
        <f>IF(AND(SkipWeekends, WEEKDAY(S1)=6),S1+3, S1+1)</f>
        <v>39318</v>
      </c>
      <c r="W1" s="192"/>
      <c r="X1" s="192"/>
      <c r="Y1" s="192">
        <f>IF(AND(SkipWeekends, WEEKDAY(V1)=6),V1+3, V1+1)</f>
        <v>39319</v>
      </c>
      <c r="Z1" s="192"/>
      <c r="AA1" s="192"/>
      <c r="AB1" s="192">
        <f>IF(AND(SkipWeekends, WEEKDAY(Y1)=6),Y1+3, Y1+1)</f>
        <v>39320</v>
      </c>
      <c r="AC1" s="192"/>
      <c r="AD1" s="192"/>
      <c r="AE1" s="192">
        <f>IF(AND(SkipWeekends, WEEKDAY(AB1)=6),AB1+3, AB1+1)</f>
        <v>39321</v>
      </c>
      <c r="AF1" s="192"/>
      <c r="AG1" s="192"/>
      <c r="AH1" s="192">
        <f>IF(AND(SkipWeekends, WEEKDAY(AE1)=6),AE1+3, AE1+1)</f>
        <v>39322</v>
      </c>
      <c r="AI1" s="192"/>
      <c r="AJ1" s="192"/>
      <c r="AK1" s="192">
        <f>IF(AND(SkipWeekends, WEEKDAY(AH1)=6),AH1+3, AH1+1)</f>
        <v>39323</v>
      </c>
      <c r="AL1" s="192"/>
      <c r="AM1" s="192"/>
      <c r="AN1" s="192">
        <f>IF(AND(SkipWeekends, WEEKDAY(AK1)=6),AK1+3, AK1+1)</f>
        <v>39324</v>
      </c>
      <c r="AO1" s="192"/>
      <c r="AP1" s="192"/>
      <c r="AQ1" s="192">
        <f>IF(AND(SkipWeekends, WEEKDAY(AN1)=6),AN1+3, AN1+1)</f>
        <v>39325</v>
      </c>
      <c r="AR1" s="192"/>
      <c r="AS1" s="192"/>
      <c r="AT1" s="192">
        <f>IF(AND(SkipWeekends, WEEKDAY(AQ1)=6),AQ1+3, AQ1+1)</f>
        <v>39326</v>
      </c>
      <c r="AU1" s="192"/>
      <c r="AV1" s="192"/>
      <c r="AW1" s="192">
        <f>IF(AND(SkipWeekends, WEEKDAY(AT1)=6),AT1+3, AT1+1)</f>
        <v>39327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101</v>
      </c>
      <c r="B3" s="11" t="s">
        <v>102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104</v>
      </c>
      <c r="B4" s="16" t="s">
        <v>122</v>
      </c>
      <c r="C4" s="16"/>
      <c r="D4" s="17"/>
      <c r="E4" s="178" t="s">
        <v>139</v>
      </c>
      <c r="F4" s="18" t="s">
        <v>137</v>
      </c>
      <c r="G4" s="19" t="e">
        <f t="shared" ref="G4:G61" ca="1" si="0">(INDEX(Burndown,ROW(G4)-ROW(G$3),MIN(TODAY()-SprintStart,29)*3+3))</f>
        <v>#REF!</v>
      </c>
      <c r="H4" s="20">
        <v>1</v>
      </c>
      <c r="I4" s="21">
        <v>25</v>
      </c>
      <c r="J4" s="22">
        <v>3</v>
      </c>
      <c r="K4" s="22">
        <f t="shared" ref="K4" si="1">MAX(I4-J4, 0)</f>
        <v>22</v>
      </c>
      <c r="L4" s="23" t="str">
        <f>IF(SUMPRODUCT($J$64:K$64,$J4:K4)&lt;0.5, "Pending", IF(K4&lt;0.5, "Complete", "In Progress"))</f>
        <v>In Progress</v>
      </c>
      <c r="M4" s="22">
        <v>3</v>
      </c>
      <c r="N4" s="22">
        <f t="shared" ref="N4" si="2">MAX(K4-M4,0)</f>
        <v>19</v>
      </c>
      <c r="O4" s="23" t="str">
        <f>IF(SUMPRODUCT($J$64:N$64,$J4:N4)&lt;0.5, "Pending", IF(N4&lt;0.5, "Complete", "In Progress"))</f>
        <v>In Progress</v>
      </c>
      <c r="P4" s="22">
        <v>4</v>
      </c>
      <c r="Q4" s="22">
        <f t="shared" ref="Q4" si="3">MAX(N4-P4,0)</f>
        <v>15</v>
      </c>
      <c r="R4" s="23" t="str">
        <f>IF(SUMPRODUCT($J$64:Q$64,$J4:Q4)&lt;0.5, "Pending", IF(Q4&lt;0.5, "Complete", "In Progress"))</f>
        <v>In Progress</v>
      </c>
      <c r="S4" s="22">
        <v>4</v>
      </c>
      <c r="T4" s="22">
        <f t="shared" ref="T4" si="4">MAX(Q4-S4,0)</f>
        <v>11</v>
      </c>
      <c r="U4" s="23" t="str">
        <f>IF(SUMPRODUCT($J$64:T$64,$J4:T4)&lt;0.5, "Pending", IF(T4&lt;0.5, "Complete", "In Progress"))</f>
        <v>In Progress</v>
      </c>
      <c r="V4" s="22">
        <v>5</v>
      </c>
      <c r="W4" s="22">
        <f t="shared" ref="W4" si="5">MAX(T4-V4,0)</f>
        <v>6</v>
      </c>
      <c r="X4" s="23" t="str">
        <f>IF(SUMPRODUCT($J$64:W$64,$J4:W4)&lt;0.5, "Pending", IF(W4&lt;0.5, "Complete", "In Progress"))</f>
        <v>In Progress</v>
      </c>
      <c r="Y4" s="22">
        <v>3</v>
      </c>
      <c r="Z4" s="22">
        <f t="shared" ref="Z4" si="6">MAX(W4-Y4,0)</f>
        <v>3</v>
      </c>
      <c r="AA4" s="23" t="str">
        <f>IF(SUMPRODUCT($J$64:Z$64,$J4:Z4)&lt;0.5, "Pending", IF(Z4&lt;0.5, "Complete", "In Progress"))</f>
        <v>In Progress</v>
      </c>
      <c r="AB4" s="22">
        <v>1</v>
      </c>
      <c r="AC4" s="22">
        <f t="shared" ref="AC4" si="7">MAX(Z4-AB4,0)</f>
        <v>2</v>
      </c>
      <c r="AD4" s="23" t="str">
        <f>IF(SUMPRODUCT($J$64:AC$64,$J4:AC4)&lt;0.5, "Pending", IF(AC4&lt;0.5, "Complete", "In Progress"))</f>
        <v>In Progress</v>
      </c>
      <c r="AE4" s="22">
        <v>2</v>
      </c>
      <c r="AF4" s="22">
        <f t="shared" ref="AF4" si="8">MAX(AC4-AE4,0)</f>
        <v>0</v>
      </c>
      <c r="AG4" s="23" t="str">
        <f>IF(SUMPRODUCT($J$64:AF$64,$J4:AF4)&lt;0.5,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IF(SUMPRODUCT($J$64:AI$64,$J4:AI4)&lt;0.5,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IF(SUMPRODUCT($J$64:AL$64,$J4:AL4)&lt;0.5,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IF(SUMPRODUCT($J$64:AO$64,$J4:AO4)&lt;0.5,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IF(SUMPRODUCT($J$64:AR$64,$J4:AR4)&lt;0.5,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IF(SUMPRODUCT($J$64:AU$64,$J4:AU4)&lt;0.5,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IF(SUMPRODUCT($J$64:AX$64,$J4:AX4)&lt;0.5,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25</v>
      </c>
    </row>
    <row r="5" spans="1:83" x14ac:dyDescent="0.2">
      <c r="A5" s="16" t="s">
        <v>104</v>
      </c>
      <c r="B5" s="16" t="s">
        <v>122</v>
      </c>
      <c r="C5" s="16"/>
      <c r="D5" s="17"/>
      <c r="E5" s="178" t="s">
        <v>140</v>
      </c>
      <c r="F5" s="18" t="s">
        <v>136</v>
      </c>
      <c r="G5" s="19" t="e">
        <f t="shared" ca="1" si="0"/>
        <v>#REF!</v>
      </c>
      <c r="H5" s="20">
        <v>1</v>
      </c>
      <c r="I5" s="21">
        <v>25</v>
      </c>
      <c r="J5" s="22">
        <v>3</v>
      </c>
      <c r="K5" s="22">
        <f t="shared" ref="K5:K60" si="24">MAX(I5-J5, 0)</f>
        <v>22</v>
      </c>
      <c r="L5" s="23" t="str">
        <f>IF(SUMPRODUCT($J$64:K$64,$J5:K5)&lt;0.5, "Pending", IF(K5&lt;0.5, "Complete", "In Progress"))</f>
        <v>In Progress</v>
      </c>
      <c r="M5" s="22">
        <v>3</v>
      </c>
      <c r="N5" s="22">
        <f t="shared" ref="N5:N60" si="25">MAX(K5-M5,0)</f>
        <v>19</v>
      </c>
      <c r="O5" s="23" t="str">
        <f>IF(SUMPRODUCT($J$64:N$64,$J5:N5)&lt;0.5, "Pending", IF(N5&lt;0.5, "Complete", "In Progress"))</f>
        <v>In Progress</v>
      </c>
      <c r="P5" s="22">
        <v>4</v>
      </c>
      <c r="Q5" s="22">
        <f t="shared" ref="Q5:Q60" si="26">MAX(N5-P5,0)</f>
        <v>15</v>
      </c>
      <c r="R5" s="23" t="str">
        <f>IF(SUMPRODUCT($J$64:Q$64,$J5:Q5)&lt;0.5, "Pending", IF(Q5&lt;0.5, "Complete", "In Progress"))</f>
        <v>In Progress</v>
      </c>
      <c r="S5" s="22">
        <v>4</v>
      </c>
      <c r="T5" s="22">
        <f t="shared" ref="T5:T60" si="27">MAX(Q5-S5,0)</f>
        <v>11</v>
      </c>
      <c r="U5" s="23" t="str">
        <f>IF(SUMPRODUCT($J$64:T$64,$J5:T5)&lt;0.5, "Pending", IF(T5&lt;0.5, "Complete", "In Progress"))</f>
        <v>In Progress</v>
      </c>
      <c r="V5" s="22">
        <v>5</v>
      </c>
      <c r="W5" s="22">
        <f t="shared" ref="W5:W60" si="28">MAX(T5-V5,0)</f>
        <v>6</v>
      </c>
      <c r="X5" s="23" t="str">
        <f>IF(SUMPRODUCT($J$64:W$64,$J5:W5)&lt;0.5, "Pending", IF(W5&lt;0.5, "Complete", "In Progress"))</f>
        <v>In Progress</v>
      </c>
      <c r="Y5" s="22">
        <v>3</v>
      </c>
      <c r="Z5" s="22">
        <f t="shared" ref="Z5:Z60" si="29">MAX(W5-Y5,0)</f>
        <v>3</v>
      </c>
      <c r="AA5" s="23" t="str">
        <f>IF(SUMPRODUCT($J$64:Z$64,$J5:Z5)&lt;0.5, "Pending", IF(Z5&lt;0.5, "Complete", "In Progress"))</f>
        <v>In Progress</v>
      </c>
      <c r="AB5" s="22">
        <v>1</v>
      </c>
      <c r="AC5" s="22">
        <f t="shared" ref="AC5:AC60" si="30">MAX(Z5-AB5,0)</f>
        <v>2</v>
      </c>
      <c r="AD5" s="23" t="str">
        <f>IF(SUMPRODUCT($J$64:AC$64,$J5:AC5)&lt;0.5, "Pending", IF(AC5&lt;0.5, "Complete", "In Progress"))</f>
        <v>In Progress</v>
      </c>
      <c r="AE5" s="22">
        <v>2</v>
      </c>
      <c r="AF5" s="22">
        <f t="shared" ref="AF5:AF60" si="31">MAX(AC5-AE5,0)</f>
        <v>0</v>
      </c>
      <c r="AG5" s="23" t="str">
        <f>IF(SUMPRODUCT($J$64:AF$64,$J5:AF5)&lt;0.5, "Pending", IF(AF5&lt;0.5, "Complete", "In Progress"))</f>
        <v>Complete</v>
      </c>
      <c r="AH5" s="22">
        <v>0</v>
      </c>
      <c r="AI5" s="22">
        <f t="shared" ref="AI5:AI60" si="32">MAX(AF5-AH5,0)</f>
        <v>0</v>
      </c>
      <c r="AJ5" s="23" t="str">
        <f>IF(SUMPRODUCT($J$64:AI$64,$J5:AI5)&lt;0.5, "Pending", IF(AI5&lt;0.5, "Complete", "In Progress"))</f>
        <v>Complete</v>
      </c>
      <c r="AK5" s="22">
        <v>0</v>
      </c>
      <c r="AL5" s="22">
        <f t="shared" ref="AL5:AL60" si="33">MAX(AI5-AK5,0)</f>
        <v>0</v>
      </c>
      <c r="AM5" s="23" t="str">
        <f>IF(SUMPRODUCT($J$64:AL$64,$J5:AL5)&lt;0.5, "Pending", IF(AL5&lt;0.5, "Complete", "In Progress"))</f>
        <v>Complete</v>
      </c>
      <c r="AN5" s="22">
        <v>0</v>
      </c>
      <c r="AO5" s="22">
        <f t="shared" ref="AO5:AO60" si="34">MAX(AL5-AN5,0)</f>
        <v>0</v>
      </c>
      <c r="AP5" s="23" t="str">
        <f>IF(SUMPRODUCT($J$64:AO$64,$J5:AO5)&lt;0.5, "Pending", IF(AO5&lt;0.5, "Complete", "In Progress"))</f>
        <v>Complete</v>
      </c>
      <c r="AQ5" s="22">
        <v>0</v>
      </c>
      <c r="AR5" s="22">
        <f t="shared" ref="AR5:AR60" si="35">MAX(AO5-AQ5,0)</f>
        <v>0</v>
      </c>
      <c r="AS5" s="23" t="str">
        <f>IF(SUMPRODUCT($J$64:AR$64,$J5:AR5)&lt;0.5, "Pending", IF(AR5&lt;0.5, "Complete", "In Progress"))</f>
        <v>Complete</v>
      </c>
      <c r="AT5" s="22">
        <v>0</v>
      </c>
      <c r="AU5" s="22">
        <f t="shared" ref="AU5:AU60" si="36">MAX(AR5-AT5,0)</f>
        <v>0</v>
      </c>
      <c r="AV5" s="23" t="str">
        <f>IF(SUMPRODUCT($J$64:AU$64,$J5:AU5)&lt;0.5, "Pending", IF(AU5&lt;0.5, "Complete", "In Progress"))</f>
        <v>Complete</v>
      </c>
      <c r="AW5" s="22">
        <v>0</v>
      </c>
      <c r="AX5" s="22">
        <f t="shared" ref="AX5:AX60" si="37">MAX(AU5-AW5,0)</f>
        <v>0</v>
      </c>
      <c r="AY5" s="23" t="str">
        <f>IF(SUMPRODUCT($J$64:AX$64,$J5:AX5)&lt;0.5,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25</v>
      </c>
    </row>
    <row r="6" spans="1:83" x14ac:dyDescent="0.2">
      <c r="A6" s="16" t="s">
        <v>104</v>
      </c>
      <c r="B6" s="16" t="s">
        <v>122</v>
      </c>
      <c r="C6" s="16"/>
      <c r="D6" s="17"/>
      <c r="E6" s="178" t="s">
        <v>141</v>
      </c>
      <c r="F6" s="18" t="s">
        <v>138</v>
      </c>
      <c r="G6" s="19" t="e">
        <f t="shared" ca="1" si="0"/>
        <v>#REF!</v>
      </c>
      <c r="H6" s="20">
        <v>1</v>
      </c>
      <c r="I6" s="21">
        <v>25</v>
      </c>
      <c r="J6" s="22">
        <v>3</v>
      </c>
      <c r="K6" s="22">
        <f t="shared" si="24"/>
        <v>22</v>
      </c>
      <c r="L6" s="23" t="str">
        <f>IF(SUMPRODUCT($J$64:K$64,$J6:K6)&lt;0.5, "Pending", IF(K6&lt;0.5, "Complete", "In Progress"))</f>
        <v>In Progress</v>
      </c>
      <c r="M6" s="22">
        <v>3</v>
      </c>
      <c r="N6" s="22">
        <f t="shared" si="25"/>
        <v>19</v>
      </c>
      <c r="O6" s="23" t="str">
        <f>IF(SUMPRODUCT($J$64:N$64,$J6:N6)&lt;0.5, "Pending", IF(N6&lt;0.5, "Complete", "In Progress"))</f>
        <v>In Progress</v>
      </c>
      <c r="P6" s="22">
        <v>4</v>
      </c>
      <c r="Q6" s="22">
        <f t="shared" si="26"/>
        <v>15</v>
      </c>
      <c r="R6" s="23" t="str">
        <f>IF(SUMPRODUCT($J$64:Q$64,$J6:Q6)&lt;0.5, "Pending", IF(Q6&lt;0.5, "Complete", "In Progress"))</f>
        <v>In Progress</v>
      </c>
      <c r="S6" s="22">
        <v>4</v>
      </c>
      <c r="T6" s="22">
        <f t="shared" si="27"/>
        <v>11</v>
      </c>
      <c r="U6" s="23" t="str">
        <f>IF(SUMPRODUCT($J$64:T$64,$J6:T6)&lt;0.5, "Pending", IF(T6&lt;0.5, "Complete", "In Progress"))</f>
        <v>In Progress</v>
      </c>
      <c r="V6" s="22">
        <v>5</v>
      </c>
      <c r="W6" s="22">
        <f t="shared" si="28"/>
        <v>6</v>
      </c>
      <c r="X6" s="23" t="str">
        <f>IF(SUMPRODUCT($J$64:W$64,$J6:W6)&lt;0.5, "Pending", IF(W6&lt;0.5, "Complete", "In Progress"))</f>
        <v>In Progress</v>
      </c>
      <c r="Y6" s="22">
        <v>3</v>
      </c>
      <c r="Z6" s="22">
        <f t="shared" si="29"/>
        <v>3</v>
      </c>
      <c r="AA6" s="23" t="str">
        <f>IF(SUMPRODUCT($J$64:Z$64,$J6:Z6)&lt;0.5, "Pending", IF(Z6&lt;0.5, "Complete", "In Progress"))</f>
        <v>In Progress</v>
      </c>
      <c r="AB6" s="22">
        <v>1</v>
      </c>
      <c r="AC6" s="22">
        <f t="shared" si="30"/>
        <v>2</v>
      </c>
      <c r="AD6" s="23" t="str">
        <f>IF(SUMPRODUCT($J$64:AC$64,$J6:AC6)&lt;0.5, "Pending", IF(AC6&lt;0.5, "Complete", "In Progress"))</f>
        <v>In Progress</v>
      </c>
      <c r="AE6" s="22">
        <v>2</v>
      </c>
      <c r="AF6" s="22">
        <f t="shared" si="31"/>
        <v>0</v>
      </c>
      <c r="AG6" s="23" t="str">
        <f>IF(SUMPRODUCT($J$64:AF$64,$J6:AF6)&lt;0.5, "Pending", IF(AF6&lt;0.5, "Complete", "In Progress"))</f>
        <v>Complete</v>
      </c>
      <c r="AH6" s="22">
        <v>0</v>
      </c>
      <c r="AI6" s="22">
        <f t="shared" si="32"/>
        <v>0</v>
      </c>
      <c r="AJ6" s="23" t="str">
        <f>IF(SUMPRODUCT($J$64:AI$64,$J6:AI6)&lt;0.5, "Pending", IF(AI6&lt;0.5, "Complete", "In Progress"))</f>
        <v>Complete</v>
      </c>
      <c r="AK6" s="22">
        <v>0</v>
      </c>
      <c r="AL6" s="22">
        <f t="shared" si="33"/>
        <v>0</v>
      </c>
      <c r="AM6" s="23" t="str">
        <f>IF(SUMPRODUCT($J$64:AL$64,$J6:AL6)&lt;0.5, "Pending", IF(AL6&lt;0.5, "Complete", "In Progress"))</f>
        <v>Complete</v>
      </c>
      <c r="AN6" s="22">
        <v>0</v>
      </c>
      <c r="AO6" s="22">
        <f t="shared" si="34"/>
        <v>0</v>
      </c>
      <c r="AP6" s="23" t="str">
        <f>IF(SUMPRODUCT($J$64:AO$64,$J6:AO6)&lt;0.5, "Pending", IF(AO6&lt;0.5, "Complete", "In Progress"))</f>
        <v>Complete</v>
      </c>
      <c r="AQ6" s="22">
        <v>0</v>
      </c>
      <c r="AR6" s="22">
        <f t="shared" si="35"/>
        <v>0</v>
      </c>
      <c r="AS6" s="23" t="str">
        <f>IF(SUMPRODUCT($J$64:AR$64,$J6:AR6)&lt;0.5, "Pending", IF(AR6&lt;0.5, "Complete", "In Progress"))</f>
        <v>Complete</v>
      </c>
      <c r="AT6" s="22">
        <v>0</v>
      </c>
      <c r="AU6" s="22">
        <f t="shared" si="36"/>
        <v>0</v>
      </c>
      <c r="AV6" s="23" t="str">
        <f>IF(SUMPRODUCT($J$64:AU$64,$J6:AU6)&lt;0.5, "Pending", IF(AU6&lt;0.5, "Complete", "In Progress"))</f>
        <v>Complete</v>
      </c>
      <c r="AW6" s="22">
        <v>0</v>
      </c>
      <c r="AX6" s="22">
        <f t="shared" si="37"/>
        <v>0</v>
      </c>
      <c r="AY6" s="23" t="str">
        <f>IF(SUMPRODUCT($J$64:AX$64,$J6:AX6)&lt;0.5,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25</v>
      </c>
    </row>
    <row r="7" spans="1:83" x14ac:dyDescent="0.2">
      <c r="A7" s="16" t="s">
        <v>104</v>
      </c>
      <c r="B7" s="16" t="s">
        <v>122</v>
      </c>
      <c r="C7" s="16"/>
      <c r="D7" s="17"/>
      <c r="E7" s="178" t="s">
        <v>142</v>
      </c>
      <c r="F7" s="18" t="s">
        <v>136</v>
      </c>
      <c r="G7" s="19" t="e">
        <f t="shared" ca="1" si="0"/>
        <v>#REF!</v>
      </c>
      <c r="H7" s="20">
        <v>1</v>
      </c>
      <c r="I7" s="21">
        <v>30</v>
      </c>
      <c r="J7" s="22">
        <v>0</v>
      </c>
      <c r="K7" s="22">
        <f t="shared" si="24"/>
        <v>30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5"/>
        <v>30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6"/>
        <v>30</v>
      </c>
      <c r="R7" s="23" t="str">
        <f>IF(SUMPRODUCT($J$64:Q$64,$J7:Q7)&lt;0.5, "Pending", IF(Q7&lt;0.5, "Complete", "In Progress"))</f>
        <v>Pending</v>
      </c>
      <c r="S7" s="22">
        <v>5</v>
      </c>
      <c r="T7" s="22">
        <f t="shared" si="27"/>
        <v>25</v>
      </c>
      <c r="U7" s="23" t="str">
        <f>IF(SUMPRODUCT($J$64:T$64,$J7:T7)&lt;0.5, "Pending", IF(T7&lt;0.5, "Complete", "In Progress"))</f>
        <v>In Progress</v>
      </c>
      <c r="V7" s="22">
        <v>3</v>
      </c>
      <c r="W7" s="22">
        <f t="shared" si="28"/>
        <v>22</v>
      </c>
      <c r="X7" s="23" t="str">
        <f>IF(SUMPRODUCT($J$64:W$64,$J7:W7)&lt;0.5, "Pending", IF(W7&lt;0.5, "Complete", "In Progress"))</f>
        <v>In Progress</v>
      </c>
      <c r="Y7" s="22">
        <v>4</v>
      </c>
      <c r="Z7" s="22">
        <f t="shared" si="29"/>
        <v>18</v>
      </c>
      <c r="AA7" s="23" t="str">
        <f>IF(SUMPRODUCT($J$64:Z$64,$J7:Z7)&lt;0.5, "Pending", IF(Z7&lt;0.5, "Complete", "In Progress"))</f>
        <v>In Progress</v>
      </c>
      <c r="AB7" s="22">
        <v>3</v>
      </c>
      <c r="AC7" s="22">
        <f t="shared" si="30"/>
        <v>15</v>
      </c>
      <c r="AD7" s="23" t="str">
        <f>IF(SUMPRODUCT($J$64:AC$64,$J7:AC7)&lt;0.5, "Pending", IF(AC7&lt;0.5, "Complete", "In Progress"))</f>
        <v>In Progress</v>
      </c>
      <c r="AE7" s="22">
        <v>5</v>
      </c>
      <c r="AF7" s="22">
        <f t="shared" si="31"/>
        <v>10</v>
      </c>
      <c r="AG7" s="23" t="str">
        <f>IF(SUMPRODUCT($J$64:AF$64,$J7:AF7)&lt;0.5, "Pending", IF(AF7&lt;0.5, "Complete", "In Progress"))</f>
        <v>In Progress</v>
      </c>
      <c r="AH7" s="22">
        <v>3</v>
      </c>
      <c r="AI7" s="22">
        <f t="shared" si="32"/>
        <v>7</v>
      </c>
      <c r="AJ7" s="23" t="str">
        <f>IF(SUMPRODUCT($J$64:AI$64,$J7:AI7)&lt;0.5, "Pending", IF(AI7&lt;0.5, "Complete", "In Progress"))</f>
        <v>In Progress</v>
      </c>
      <c r="AK7" s="22">
        <v>2</v>
      </c>
      <c r="AL7" s="22">
        <f t="shared" si="33"/>
        <v>5</v>
      </c>
      <c r="AM7" s="23" t="str">
        <f>IF(SUMPRODUCT($J$64:AL$64,$J7:AL7)&lt;0.5, "Pending", IF(AL7&lt;0.5, "Complete", "In Progress"))</f>
        <v>In Progress</v>
      </c>
      <c r="AN7" s="22">
        <v>2</v>
      </c>
      <c r="AO7" s="22">
        <f t="shared" si="34"/>
        <v>3</v>
      </c>
      <c r="AP7" s="23" t="str">
        <f>IF(SUMPRODUCT($J$64:AO$64,$J7:AO7)&lt;0.5, "Pending", IF(AO7&lt;0.5, "Complete", "In Progress"))</f>
        <v>In Progress</v>
      </c>
      <c r="AQ7" s="22">
        <v>2</v>
      </c>
      <c r="AR7" s="22">
        <f t="shared" si="35"/>
        <v>1</v>
      </c>
      <c r="AS7" s="23" t="str">
        <f>IF(SUMPRODUCT($J$64:AR$64,$J7:AR7)&lt;0.5, "Pending", IF(AR7&lt;0.5, "Complete", "In Progress"))</f>
        <v>In Progress</v>
      </c>
      <c r="AT7" s="22">
        <v>1</v>
      </c>
      <c r="AU7" s="22">
        <f t="shared" si="36"/>
        <v>0</v>
      </c>
      <c r="AV7" s="23" t="str">
        <f>IF(SUMPRODUCT($J$64:AU$64,$J7:AU7)&lt;0.5,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IF(SUMPRODUCT($J$64:AX$64,$J7:AX7)&lt;0.5,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30</v>
      </c>
    </row>
    <row r="8" spans="1:83" x14ac:dyDescent="0.2">
      <c r="A8" s="16" t="s">
        <v>104</v>
      </c>
      <c r="B8" s="16" t="s">
        <v>122</v>
      </c>
      <c r="C8" s="16"/>
      <c r="D8" s="17"/>
      <c r="E8" s="178" t="s">
        <v>143</v>
      </c>
      <c r="F8" s="18" t="s">
        <v>137</v>
      </c>
      <c r="G8" s="19" t="e">
        <f t="shared" ca="1" si="0"/>
        <v>#REF!</v>
      </c>
      <c r="H8" s="20">
        <v>1</v>
      </c>
      <c r="I8" s="21">
        <v>35</v>
      </c>
      <c r="J8" s="22">
        <v>0</v>
      </c>
      <c r="K8" s="22">
        <f t="shared" si="24"/>
        <v>35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5"/>
        <v>35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6"/>
        <v>35</v>
      </c>
      <c r="R8" s="23" t="str">
        <f>IF(SUMPRODUCT($J$64:Q$64,$J8:Q8)&lt;0.5, "Pending", IF(Q8&lt;0.5, "Complete", "In Progress"))</f>
        <v>Pending</v>
      </c>
      <c r="S8" s="22">
        <v>5</v>
      </c>
      <c r="T8" s="22">
        <f t="shared" si="27"/>
        <v>30</v>
      </c>
      <c r="U8" s="23" t="str">
        <f>IF(SUMPRODUCT($J$64:T$64,$J8:T8)&lt;0.5, "Pending", IF(T8&lt;0.5, "Complete", "In Progress"))</f>
        <v>In Progress</v>
      </c>
      <c r="V8" s="22">
        <v>3</v>
      </c>
      <c r="W8" s="22">
        <f t="shared" si="28"/>
        <v>27</v>
      </c>
      <c r="X8" s="23" t="str">
        <f>IF(SUMPRODUCT($J$64:W$64,$J8:W8)&lt;0.5, "Pending", IF(W8&lt;0.5, "Complete", "In Progress"))</f>
        <v>In Progress</v>
      </c>
      <c r="Y8" s="22">
        <v>4</v>
      </c>
      <c r="Z8" s="22">
        <f t="shared" si="29"/>
        <v>23</v>
      </c>
      <c r="AA8" s="23" t="str">
        <f>IF(SUMPRODUCT($J$64:Z$64,$J8:Z8)&lt;0.5, "Pending", IF(Z8&lt;0.5, "Complete", "In Progress"))</f>
        <v>In Progress</v>
      </c>
      <c r="AB8" s="22">
        <v>3</v>
      </c>
      <c r="AC8" s="22">
        <f t="shared" si="30"/>
        <v>20</v>
      </c>
      <c r="AD8" s="23" t="str">
        <f>IF(SUMPRODUCT($J$64:AC$64,$J8:AC8)&lt;0.5, "Pending", IF(AC8&lt;0.5, "Complete", "In Progress"))</f>
        <v>In Progress</v>
      </c>
      <c r="AE8" s="22">
        <v>5</v>
      </c>
      <c r="AF8" s="22">
        <f t="shared" si="31"/>
        <v>15</v>
      </c>
      <c r="AG8" s="23" t="str">
        <f>IF(SUMPRODUCT($J$64:AF$64,$J8:AF8)&lt;0.5, "Pending", IF(AF8&lt;0.5, "Complete", "In Progress"))</f>
        <v>In Progress</v>
      </c>
      <c r="AH8" s="22">
        <v>1</v>
      </c>
      <c r="AI8" s="22">
        <f t="shared" si="32"/>
        <v>14</v>
      </c>
      <c r="AJ8" s="23" t="str">
        <f>IF(SUMPRODUCT($J$64:AI$64,$J8:AI8)&lt;0.5, "Pending", IF(AI8&lt;0.5, "Complete", "In Progress"))</f>
        <v>In Progress</v>
      </c>
      <c r="AK8" s="22">
        <v>2</v>
      </c>
      <c r="AL8" s="22">
        <f t="shared" si="33"/>
        <v>12</v>
      </c>
      <c r="AM8" s="23" t="str">
        <f>IF(SUMPRODUCT($J$64:AL$64,$J8:AL8)&lt;0.5, "Pending", IF(AL8&lt;0.5, "Complete", "In Progress"))</f>
        <v>In Progress</v>
      </c>
      <c r="AN8" s="22">
        <v>2</v>
      </c>
      <c r="AO8" s="22">
        <f t="shared" si="34"/>
        <v>10</v>
      </c>
      <c r="AP8" s="23" t="str">
        <f>IF(SUMPRODUCT($J$64:AO$64,$J8:AO8)&lt;0.5, "Pending", IF(AO8&lt;0.5, "Complete", "In Progress"))</f>
        <v>In Progress</v>
      </c>
      <c r="AQ8" s="22">
        <v>5</v>
      </c>
      <c r="AR8" s="22">
        <f t="shared" si="35"/>
        <v>5</v>
      </c>
      <c r="AS8" s="23" t="str">
        <f>IF(SUMPRODUCT($J$64:AR$64,$J8:AR8)&lt;0.5, "Pending", IF(AR8&lt;0.5, "Complete", "In Progress"))</f>
        <v>In Progress</v>
      </c>
      <c r="AT8" s="22">
        <v>2</v>
      </c>
      <c r="AU8" s="22">
        <f t="shared" si="36"/>
        <v>3</v>
      </c>
      <c r="AV8" s="23" t="str">
        <f>IF(SUMPRODUCT($J$64:AU$64,$J8:AU8)&lt;0.5, "Pending", IF(AU8&lt;0.5, "Complete", "In Progress"))</f>
        <v>In Progress</v>
      </c>
      <c r="AW8" s="22">
        <v>3</v>
      </c>
      <c r="AX8" s="22">
        <f t="shared" si="37"/>
        <v>0</v>
      </c>
      <c r="AY8" s="23" t="str">
        <f>IF(SUMPRODUCT($J$64:AX$64,$J8:AX8)&lt;0.5,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35</v>
      </c>
    </row>
    <row r="9" spans="1:83" x14ac:dyDescent="0.2">
      <c r="A9" s="16"/>
      <c r="B9" s="16"/>
      <c r="C9" s="16"/>
      <c r="D9" s="17"/>
      <c r="E9" s="178"/>
      <c r="F9" s="18" t="s">
        <v>132</v>
      </c>
      <c r="G9" s="19" t="e">
        <f t="shared" ca="1" si="0"/>
        <v>#REF!</v>
      </c>
      <c r="H9" s="20">
        <v>1</v>
      </c>
      <c r="I9" s="21">
        <v>0</v>
      </c>
      <c r="J9" s="22">
        <v>0</v>
      </c>
      <c r="K9" s="22">
        <f t="shared" si="24"/>
        <v>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6"/>
        <v>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7"/>
        <v>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8"/>
        <v>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9"/>
        <v>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30"/>
        <v>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1"/>
        <v>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2"/>
        <v>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3"/>
        <v>0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4"/>
        <v>0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5"/>
        <v>0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6"/>
        <v>0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7"/>
        <v>0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/>
      <c r="B10" s="16"/>
      <c r="C10" s="16"/>
      <c r="D10" s="17"/>
      <c r="E10" s="178"/>
      <c r="F10" s="18" t="s">
        <v>132</v>
      </c>
      <c r="G10" s="19" t="e">
        <f t="shared" ca="1" si="0"/>
        <v>#REF!</v>
      </c>
      <c r="H10" s="20">
        <v>1</v>
      </c>
      <c r="I10" s="21">
        <v>0</v>
      </c>
      <c r="J10" s="22">
        <v>0</v>
      </c>
      <c r="K10" s="22">
        <f t="shared" si="24"/>
        <v>0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0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0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7"/>
        <v>0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8"/>
        <v>0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9"/>
        <v>0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30"/>
        <v>0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1"/>
        <v>0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2"/>
        <v>0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3"/>
        <v>0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4"/>
        <v>0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5"/>
        <v>0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6"/>
        <v>0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7"/>
        <v>0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/>
      <c r="B11" s="16"/>
      <c r="C11" s="16"/>
      <c r="D11" s="17"/>
      <c r="E11" s="178"/>
      <c r="F11" s="18" t="s">
        <v>132</v>
      </c>
      <c r="G11" s="19" t="e">
        <f t="shared" ca="1" si="0"/>
        <v>#REF!</v>
      </c>
      <c r="H11" s="20">
        <v>1</v>
      </c>
      <c r="I11" s="21">
        <v>0</v>
      </c>
      <c r="J11" s="22">
        <v>0</v>
      </c>
      <c r="K11" s="22">
        <f t="shared" si="24"/>
        <v>0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5"/>
        <v>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6"/>
        <v>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7"/>
        <v>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8"/>
        <v>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9"/>
        <v>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30"/>
        <v>0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1"/>
        <v>0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2"/>
        <v>0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3"/>
        <v>0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4"/>
        <v>0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5"/>
        <v>0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6"/>
        <v>0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7"/>
        <v>0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x14ac:dyDescent="0.2">
      <c r="A12" s="16"/>
      <c r="B12" s="16"/>
      <c r="C12" s="16"/>
      <c r="D12" s="17"/>
      <c r="E12" s="178"/>
      <c r="F12" s="18" t="s">
        <v>132</v>
      </c>
      <c r="G12" s="19" t="e">
        <f t="shared" ca="1" si="0"/>
        <v>#REF!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x14ac:dyDescent="0.2">
      <c r="A13" s="16"/>
      <c r="B13" s="16"/>
      <c r="C13" s="16"/>
      <c r="D13" s="17"/>
      <c r="E13" s="178"/>
      <c r="F13" s="18" t="s">
        <v>132</v>
      </c>
      <c r="G13" s="19" t="e">
        <f t="shared" ca="1" si="0"/>
        <v>#REF!</v>
      </c>
      <c r="H13" s="20">
        <v>1</v>
      </c>
      <c r="I13" s="21">
        <v>0</v>
      </c>
      <c r="J13" s="22">
        <v>0</v>
      </c>
      <c r="K13" s="22">
        <f t="shared" si="24"/>
        <v>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5"/>
        <v>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6"/>
        <v>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7"/>
        <v>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8"/>
        <v>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9"/>
        <v>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30"/>
        <v>0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1"/>
        <v>0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2"/>
        <v>0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3"/>
        <v>0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4"/>
        <v>0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5"/>
        <v>0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6"/>
        <v>0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7"/>
        <v>0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x14ac:dyDescent="0.2">
      <c r="A14" s="16"/>
      <c r="B14" s="16"/>
      <c r="C14" s="16"/>
      <c r="D14" s="17"/>
      <c r="E14" s="178"/>
      <c r="F14" s="18" t="s">
        <v>132</v>
      </c>
      <c r="G14" s="19" t="e">
        <f t="shared" ca="1" si="0"/>
        <v>#REF!</v>
      </c>
      <c r="H14" s="20">
        <v>1</v>
      </c>
      <c r="I14" s="21">
        <v>0</v>
      </c>
      <c r="J14" s="22">
        <v>0</v>
      </c>
      <c r="K14" s="22">
        <f t="shared" si="24"/>
        <v>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5"/>
        <v>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6"/>
        <v>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7"/>
        <v>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8"/>
        <v>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9"/>
        <v>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30"/>
        <v>0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1"/>
        <v>0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2"/>
        <v>0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3"/>
        <v>0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4"/>
        <v>0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5"/>
        <v>0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6"/>
        <v>0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7"/>
        <v>0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x14ac:dyDescent="0.2">
      <c r="A15" s="16"/>
      <c r="B15" s="16"/>
      <c r="C15" s="16"/>
      <c r="D15" s="17"/>
      <c r="E15" s="178"/>
      <c r="F15" s="18" t="s">
        <v>132</v>
      </c>
      <c r="G15" s="19" t="e">
        <f t="shared" ca="1" si="0"/>
        <v>#REF!</v>
      </c>
      <c r="H15" s="20">
        <v>1</v>
      </c>
      <c r="I15" s="21">
        <v>0</v>
      </c>
      <c r="J15" s="22">
        <v>0</v>
      </c>
      <c r="K15" s="22">
        <f t="shared" si="24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30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1"/>
        <v>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2"/>
        <v>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3"/>
        <v>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4"/>
        <v>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5"/>
        <v>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6"/>
        <v>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7"/>
        <v>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/>
      <c r="B16" s="16"/>
      <c r="C16" s="16"/>
      <c r="D16" s="17"/>
      <c r="E16" s="178"/>
      <c r="F16" s="18" t="s">
        <v>132</v>
      </c>
      <c r="G16" s="19" t="e">
        <f t="shared" ca="1" si="0"/>
        <v>#REF!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x14ac:dyDescent="0.2">
      <c r="A17" s="16"/>
      <c r="B17" s="16"/>
      <c r="C17" s="16"/>
      <c r="D17" s="17"/>
      <c r="E17" s="178"/>
      <c r="F17" s="18" t="s">
        <v>132</v>
      </c>
      <c r="G17" s="19" t="e">
        <f t="shared" ca="1" si="0"/>
        <v>#REF!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x14ac:dyDescent="0.2">
      <c r="A18" s="16"/>
      <c r="B18" s="16"/>
      <c r="C18" s="16"/>
      <c r="D18" s="17"/>
      <c r="E18" s="178"/>
      <c r="F18" s="18" t="s">
        <v>132</v>
      </c>
      <c r="G18" s="19" t="e">
        <f t="shared" ca="1" si="0"/>
        <v>#REF!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x14ac:dyDescent="0.2">
      <c r="A19" s="16"/>
      <c r="B19" s="16"/>
      <c r="C19" s="16"/>
      <c r="D19" s="17"/>
      <c r="E19" s="178"/>
      <c r="F19" s="18" t="s">
        <v>132</v>
      </c>
      <c r="G19" s="19" t="e">
        <f t="shared" ca="1" si="0"/>
        <v>#REF!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x14ac:dyDescent="0.2">
      <c r="A20" s="16"/>
      <c r="B20" s="16"/>
      <c r="C20" s="16"/>
      <c r="D20" s="17"/>
      <c r="E20" s="178"/>
      <c r="F20" s="18" t="s">
        <v>132</v>
      </c>
      <c r="G20" s="19" t="e">
        <f t="shared" ca="1" si="0"/>
        <v>#REF!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x14ac:dyDescent="0.2">
      <c r="A21" s="16"/>
      <c r="B21" s="16"/>
      <c r="C21" s="16"/>
      <c r="D21" s="17"/>
      <c r="E21" s="178"/>
      <c r="F21" s="18" t="s">
        <v>132</v>
      </c>
      <c r="G21" s="19" t="e">
        <f t="shared" ca="1" si="0"/>
        <v>#REF!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x14ac:dyDescent="0.2">
      <c r="A22" s="16"/>
      <c r="B22" s="16"/>
      <c r="C22" s="16"/>
      <c r="D22" s="17"/>
      <c r="E22" s="178"/>
      <c r="F22" s="18" t="s">
        <v>132</v>
      </c>
      <c r="G22" s="19" t="e">
        <f t="shared" ca="1" si="0"/>
        <v>#REF!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x14ac:dyDescent="0.2">
      <c r="A23" s="16"/>
      <c r="B23" s="16"/>
      <c r="C23" s="16"/>
      <c r="D23" s="17"/>
      <c r="E23" s="178"/>
      <c r="F23" s="18" t="s">
        <v>132</v>
      </c>
      <c r="G23" s="19" t="e">
        <f t="shared" ca="1" si="0"/>
        <v>#REF!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x14ac:dyDescent="0.2">
      <c r="A24" s="16"/>
      <c r="B24" s="16"/>
      <c r="C24" s="16"/>
      <c r="D24" s="17"/>
      <c r="E24" s="178"/>
      <c r="F24" s="18" t="s">
        <v>132</v>
      </c>
      <c r="G24" s="19" t="e">
        <f t="shared" ca="1" si="0"/>
        <v>#REF!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132</v>
      </c>
      <c r="G25" s="19" t="e">
        <f t="shared" ca="1" si="0"/>
        <v>#REF!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132</v>
      </c>
      <c r="G26" s="19" t="e">
        <f t="shared" ca="1" si="0"/>
        <v>#REF!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132</v>
      </c>
      <c r="G27" s="19" t="e">
        <f t="shared" ca="1" si="0"/>
        <v>#REF!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132</v>
      </c>
      <c r="G28" s="19" t="e">
        <f t="shared" ca="1" si="0"/>
        <v>#REF!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132</v>
      </c>
      <c r="G29" s="19" t="e">
        <f t="shared" ca="1" si="0"/>
        <v>#REF!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132</v>
      </c>
      <c r="G30" s="19" t="e">
        <f t="shared" ca="1" si="0"/>
        <v>#REF!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132</v>
      </c>
      <c r="G31" s="19" t="e">
        <f t="shared" ca="1" si="0"/>
        <v>#REF!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132</v>
      </c>
      <c r="G32" s="19" t="e">
        <f t="shared" ca="1" si="0"/>
        <v>#REF!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132</v>
      </c>
      <c r="G33" s="19" t="e">
        <f t="shared" ca="1" si="0"/>
        <v>#REF!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132</v>
      </c>
      <c r="G34" s="19" t="e">
        <f t="shared" ca="1" si="0"/>
        <v>#REF!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132</v>
      </c>
      <c r="G35" s="19" t="e">
        <f t="shared" ca="1" si="0"/>
        <v>#REF!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132</v>
      </c>
      <c r="G36" s="19" t="e">
        <f t="shared" ca="1" si="0"/>
        <v>#REF!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132</v>
      </c>
      <c r="G37" s="19" t="e">
        <f t="shared" ca="1" si="0"/>
        <v>#REF!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132</v>
      </c>
      <c r="G38" s="19" t="e">
        <f t="shared" ca="1" si="0"/>
        <v>#REF!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132</v>
      </c>
      <c r="G39" s="19" t="e">
        <f t="shared" ca="1" si="0"/>
        <v>#REF!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132</v>
      </c>
      <c r="G40" s="19" t="e">
        <f t="shared" ca="1" si="0"/>
        <v>#REF!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132</v>
      </c>
      <c r="G41" s="19" t="e">
        <f t="shared" ca="1" si="0"/>
        <v>#REF!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132</v>
      </c>
      <c r="G42" s="19" t="e">
        <f t="shared" ca="1" si="0"/>
        <v>#REF!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132</v>
      </c>
      <c r="G43" s="19" t="e">
        <f t="shared" ca="1" si="0"/>
        <v>#REF!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132</v>
      </c>
      <c r="G44" s="19" t="e">
        <f t="shared" ca="1" si="0"/>
        <v>#REF!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132</v>
      </c>
      <c r="G45" s="19" t="e">
        <f t="shared" ca="1" si="0"/>
        <v>#REF!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132</v>
      </c>
      <c r="G46" s="19" t="e">
        <f t="shared" ca="1" si="0"/>
        <v>#REF!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132</v>
      </c>
      <c r="G47" s="19" t="e">
        <f t="shared" ca="1" si="0"/>
        <v>#REF!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132</v>
      </c>
      <c r="G48" s="19" t="e">
        <f t="shared" ca="1" si="0"/>
        <v>#REF!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132</v>
      </c>
      <c r="G49" s="19" t="e">
        <f t="shared" ca="1" si="0"/>
        <v>#REF!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132</v>
      </c>
      <c r="G50" s="19" t="e">
        <f t="shared" ca="1" si="0"/>
        <v>#REF!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132</v>
      </c>
      <c r="G51" s="19" t="e">
        <f t="shared" ca="1" si="0"/>
        <v>#REF!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132</v>
      </c>
      <c r="G52" s="19" t="e">
        <f t="shared" ca="1" si="0"/>
        <v>#REF!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132</v>
      </c>
      <c r="G53" s="19" t="e">
        <f t="shared" ca="1" si="0"/>
        <v>#REF!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132</v>
      </c>
      <c r="G54" s="19" t="e">
        <f t="shared" ca="1" si="0"/>
        <v>#REF!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132</v>
      </c>
      <c r="G55" s="19" t="e">
        <f t="shared" ca="1" si="0"/>
        <v>#REF!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132</v>
      </c>
      <c r="G56" s="19" t="e">
        <f t="shared" ca="1" si="0"/>
        <v>#REF!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132</v>
      </c>
      <c r="G57" s="19" t="e">
        <f t="shared" ca="1" si="0"/>
        <v>#REF!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132</v>
      </c>
      <c r="G58" s="19" t="e">
        <f t="shared" ca="1" si="0"/>
        <v>#REF!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132</v>
      </c>
      <c r="G59" s="19" t="e">
        <f t="shared" ca="1" si="0"/>
        <v>#REF!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132</v>
      </c>
      <c r="G60" s="19" t="e">
        <f t="shared" ca="1" si="0"/>
        <v>#REF!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x14ac:dyDescent="0.2">
      <c r="A61" s="16"/>
      <c r="B61" s="16"/>
      <c r="C61" s="16"/>
      <c r="D61" s="17"/>
      <c r="E61" s="177"/>
      <c r="F61" s="18" t="s">
        <v>48</v>
      </c>
      <c r="G61" s="19" t="e">
        <f t="shared" ca="1" si="0"/>
        <v>#REF!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0" t="s">
        <v>9</v>
      </c>
      <c r="K63" s="191"/>
      <c r="L63" s="30">
        <v>1</v>
      </c>
      <c r="M63" s="188" t="s">
        <v>9</v>
      </c>
      <c r="N63" s="189"/>
      <c r="O63" s="30">
        <f>L63+1</f>
        <v>2</v>
      </c>
      <c r="P63" s="188" t="s">
        <v>9</v>
      </c>
      <c r="Q63" s="189"/>
      <c r="R63" s="30">
        <f>O63+1</f>
        <v>3</v>
      </c>
      <c r="S63" s="188" t="s">
        <v>9</v>
      </c>
      <c r="T63" s="189"/>
      <c r="U63" s="30">
        <f>R63+1</f>
        <v>4</v>
      </c>
      <c r="V63" s="188" t="s">
        <v>9</v>
      </c>
      <c r="W63" s="189"/>
      <c r="X63" s="30">
        <f>U63+1</f>
        <v>5</v>
      </c>
      <c r="Y63" s="188" t="s">
        <v>9</v>
      </c>
      <c r="Z63" s="188"/>
      <c r="AA63" s="30">
        <f>X63+1</f>
        <v>6</v>
      </c>
      <c r="AB63" s="188" t="s">
        <v>9</v>
      </c>
      <c r="AC63" s="188"/>
      <c r="AD63" s="30">
        <f>AA63+1</f>
        <v>7</v>
      </c>
      <c r="AE63" s="188" t="s">
        <v>9</v>
      </c>
      <c r="AF63" s="188"/>
      <c r="AG63" s="30">
        <f>AD63+1</f>
        <v>8</v>
      </c>
      <c r="AH63" s="188" t="s">
        <v>9</v>
      </c>
      <c r="AI63" s="188"/>
      <c r="AJ63" s="30">
        <f>AG63+1</f>
        <v>9</v>
      </c>
      <c r="AK63" s="188" t="s">
        <v>9</v>
      </c>
      <c r="AL63" s="188"/>
      <c r="AM63" s="30">
        <f>AJ63+1</f>
        <v>10</v>
      </c>
      <c r="AN63" s="188" t="s">
        <v>9</v>
      </c>
      <c r="AO63" s="188"/>
      <c r="AP63" s="30">
        <f>AM63+1</f>
        <v>11</v>
      </c>
      <c r="AQ63" s="188" t="s">
        <v>9</v>
      </c>
      <c r="AR63" s="188"/>
      <c r="AS63" s="30">
        <f>AP63+1</f>
        <v>12</v>
      </c>
      <c r="AT63" s="188" t="s">
        <v>9</v>
      </c>
      <c r="AU63" s="188"/>
      <c r="AV63" s="30">
        <f>AS63+1</f>
        <v>13</v>
      </c>
      <c r="AW63" s="188" t="s">
        <v>9</v>
      </c>
      <c r="AX63" s="188"/>
      <c r="AY63" s="30">
        <f>AV63+1</f>
        <v>14</v>
      </c>
      <c r="AZ63" s="188" t="s">
        <v>9</v>
      </c>
      <c r="BA63" s="189"/>
      <c r="BB63" s="30" t="e">
        <f>#REF!+1</f>
        <v>#REF!</v>
      </c>
      <c r="BC63" s="188" t="s">
        <v>9</v>
      </c>
      <c r="BD63" s="189"/>
      <c r="BE63" s="30" t="e">
        <f>BB63+1</f>
        <v>#REF!</v>
      </c>
      <c r="BF63" s="188" t="s">
        <v>9</v>
      </c>
      <c r="BG63" s="189"/>
      <c r="BH63" s="30" t="e">
        <f>BE63+1</f>
        <v>#REF!</v>
      </c>
      <c r="BI63" s="188" t="s">
        <v>9</v>
      </c>
      <c r="BJ63" s="189"/>
      <c r="BK63" s="30" t="e">
        <f>BH63+1</f>
        <v>#REF!</v>
      </c>
      <c r="BL63" s="188" t="s">
        <v>9</v>
      </c>
      <c r="BM63" s="189"/>
      <c r="BN63" s="30" t="e">
        <f>BK63+1</f>
        <v>#REF!</v>
      </c>
      <c r="BO63" s="188" t="s">
        <v>9</v>
      </c>
      <c r="BP63" s="189"/>
      <c r="BQ63" s="30" t="e">
        <f>BN63+1</f>
        <v>#REF!</v>
      </c>
      <c r="BR63" s="188" t="s">
        <v>9</v>
      </c>
      <c r="BS63" s="189"/>
      <c r="BT63" s="30" t="e">
        <f>BQ63+1</f>
        <v>#REF!</v>
      </c>
      <c r="BU63" s="188" t="s">
        <v>9</v>
      </c>
      <c r="BV63" s="189"/>
      <c r="BW63" s="30" t="e">
        <f>BT63+1</f>
        <v>#REF!</v>
      </c>
      <c r="BX63" s="188" t="s">
        <v>9</v>
      </c>
      <c r="BY63" s="189"/>
      <c r="BZ63" s="30" t="e">
        <f>BW63+1</f>
        <v>#REF!</v>
      </c>
      <c r="CA63" s="188" t="s">
        <v>9</v>
      </c>
      <c r="CB63" s="189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140</v>
      </c>
      <c r="J67" s="156">
        <f>SUBTOTAL(109,J$4:J$62)</f>
        <v>9</v>
      </c>
      <c r="K67" s="156">
        <f>SUBTOTAL(109,K$4:K$61)</f>
        <v>131</v>
      </c>
      <c r="L67" s="39"/>
      <c r="M67" s="39">
        <f>SUBTOTAL(109,M$4:M$62)</f>
        <v>9</v>
      </c>
      <c r="N67" s="39">
        <f>SUBTOTAL(109,N$4:N$61)</f>
        <v>122</v>
      </c>
      <c r="O67" s="39"/>
      <c r="P67" s="39">
        <f>SUBTOTAL(109,P$4:P$62)</f>
        <v>12</v>
      </c>
      <c r="Q67" s="39">
        <f>SUBTOTAL(109,Q$4:Q$61)</f>
        <v>110</v>
      </c>
      <c r="R67" s="39"/>
      <c r="S67" s="39">
        <f>SUBTOTAL(109,S$4:S$62)</f>
        <v>22</v>
      </c>
      <c r="T67" s="39">
        <f>SUBTOTAL(109,T$4:T$61)</f>
        <v>88</v>
      </c>
      <c r="U67" s="39"/>
      <c r="V67" s="39">
        <f>SUBTOTAL(109,V$4:V$62)</f>
        <v>21</v>
      </c>
      <c r="W67" s="39">
        <f>SUBTOTAL(109,W$4:W$61)</f>
        <v>67</v>
      </c>
      <c r="X67" s="39"/>
      <c r="Y67" s="39">
        <f>SUBTOTAL(109,Y$4:Y$62)</f>
        <v>17</v>
      </c>
      <c r="Z67" s="39">
        <f>SUBTOTAL(109,Z$4:Z$61)</f>
        <v>50</v>
      </c>
      <c r="AA67" s="39"/>
      <c r="AB67" s="39">
        <f>SUBTOTAL(109,AB$4:AB$62)</f>
        <v>9</v>
      </c>
      <c r="AC67" s="39">
        <f>SUBTOTAL(109,AC$4:AC$61)</f>
        <v>41</v>
      </c>
      <c r="AD67" s="39"/>
      <c r="AE67" s="39">
        <f>SUBTOTAL(109,AE$4:AE$62)</f>
        <v>16</v>
      </c>
      <c r="AF67" s="39">
        <f>SUBTOTAL(109,AF$4:AF$61)</f>
        <v>25</v>
      </c>
      <c r="AG67" s="39"/>
      <c r="AH67" s="39">
        <f>SUBTOTAL(109,AH$4:AH$62)</f>
        <v>4</v>
      </c>
      <c r="AI67" s="39">
        <f>SUBTOTAL(109,AI$4:AI$61)</f>
        <v>21</v>
      </c>
      <c r="AJ67" s="39"/>
      <c r="AK67" s="39">
        <f>SUBTOTAL(109,AK$4:AK$62)</f>
        <v>4</v>
      </c>
      <c r="AL67" s="39">
        <f>SUBTOTAL(109,AL$4:AL$61)</f>
        <v>17</v>
      </c>
      <c r="AM67" s="39"/>
      <c r="AN67" s="39">
        <f>SUBTOTAL(109,AN$4:AN$62)</f>
        <v>4</v>
      </c>
      <c r="AO67" s="39">
        <f>SUBTOTAL(109,AO$4:AO$61)</f>
        <v>13</v>
      </c>
      <c r="AP67" s="39"/>
      <c r="AQ67" s="39">
        <f>SUBTOTAL(109,AQ$4:AQ$62)</f>
        <v>7</v>
      </c>
      <c r="AR67" s="39">
        <f>SUBTOTAL(109,AR$4:AR$61)</f>
        <v>6</v>
      </c>
      <c r="AS67" s="39"/>
      <c r="AT67" s="39">
        <f>SUBTOTAL(109,AT$4:AT$62)</f>
        <v>3</v>
      </c>
      <c r="AU67" s="39">
        <f>SUBTOTAL(109,AU$4:AU$61)</f>
        <v>3</v>
      </c>
      <c r="AV67" s="39"/>
      <c r="AW67" s="39">
        <f>SUBTOTAL(109,AW$4:AW$62)</f>
        <v>3</v>
      </c>
      <c r="AX67" s="39">
        <f>SUBTOTAL(109,AX$4:AX$61)</f>
        <v>0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T63:AU63"/>
    <mergeCell ref="AW63:AX63"/>
    <mergeCell ref="AH63:AI63"/>
    <mergeCell ref="AK63:AL63"/>
    <mergeCell ref="AN63:AO63"/>
    <mergeCell ref="AQ63:AR63"/>
    <mergeCell ref="AW1:AY1"/>
    <mergeCell ref="AH1:AJ1"/>
    <mergeCell ref="AK1:AM1"/>
    <mergeCell ref="AN1:AP1"/>
    <mergeCell ref="AQ1:AS1"/>
    <mergeCell ref="AT1:AV1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AE63:AF63"/>
    <mergeCell ref="AB63:AC63"/>
    <mergeCell ref="Y63:Z63"/>
    <mergeCell ref="AE1:AG1"/>
    <mergeCell ref="AB1:AD1"/>
    <mergeCell ref="Y1:AA1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P4:P61 J4:J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H4:I61 A4:E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K33" sqref="K3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39314</v>
      </c>
      <c r="F20" s="164">
        <f t="shared" si="0"/>
        <v>39315</v>
      </c>
      <c r="G20" s="164">
        <f t="shared" si="0"/>
        <v>39316</v>
      </c>
      <c r="H20" s="164">
        <f t="shared" si="0"/>
        <v>39317</v>
      </c>
      <c r="I20" s="164">
        <f t="shared" si="0"/>
        <v>39318</v>
      </c>
      <c r="J20" s="164">
        <f t="shared" si="0"/>
        <v>39319</v>
      </c>
      <c r="K20" s="164">
        <f t="shared" si="0"/>
        <v>39320</v>
      </c>
      <c r="L20" s="164">
        <f t="shared" si="0"/>
        <v>39321</v>
      </c>
      <c r="M20" s="164">
        <f t="shared" si="0"/>
        <v>39322</v>
      </c>
      <c r="N20" s="164">
        <f t="shared" si="0"/>
        <v>39323</v>
      </c>
      <c r="O20" s="164">
        <f t="shared" si="0"/>
        <v>39324</v>
      </c>
      <c r="P20" s="164">
        <f t="shared" si="0"/>
        <v>39325</v>
      </c>
      <c r="Q20" s="164">
        <f t="shared" si="0"/>
        <v>39326</v>
      </c>
      <c r="R20" s="164">
        <f t="shared" si="0"/>
        <v>39327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131</v>
      </c>
      <c r="F22" s="162">
        <f t="shared" ca="1" si="1"/>
        <v>122</v>
      </c>
      <c r="G22" s="162">
        <f t="shared" ca="1" si="1"/>
        <v>110</v>
      </c>
      <c r="H22" s="162">
        <f t="shared" ca="1" si="1"/>
        <v>88</v>
      </c>
      <c r="I22" s="162">
        <f t="shared" ca="1" si="1"/>
        <v>67</v>
      </c>
      <c r="J22" s="162">
        <f t="shared" ca="1" si="1"/>
        <v>50</v>
      </c>
      <c r="K22" s="162">
        <f t="shared" ca="1" si="1"/>
        <v>41</v>
      </c>
      <c r="L22" s="162">
        <f t="shared" ca="1" si="1"/>
        <v>25</v>
      </c>
      <c r="M22" s="162">
        <f t="shared" ca="1" si="1"/>
        <v>21</v>
      </c>
      <c r="N22" s="162">
        <f t="shared" ca="1" si="1"/>
        <v>17</v>
      </c>
      <c r="O22" s="162">
        <f t="shared" ca="1" si="1"/>
        <v>13</v>
      </c>
      <c r="P22" s="162">
        <f t="shared" ca="1" si="1"/>
        <v>6</v>
      </c>
      <c r="Q22" s="162">
        <f t="shared" ca="1" si="1"/>
        <v>3</v>
      </c>
      <c r="R22" s="162">
        <f t="shared" ca="1" si="1"/>
        <v>0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9</v>
      </c>
      <c r="F23" s="163">
        <f t="shared" ca="1" si="2"/>
        <v>9</v>
      </c>
      <c r="G23" s="163">
        <f t="shared" ca="1" si="2"/>
        <v>12</v>
      </c>
      <c r="H23" s="163">
        <f t="shared" ca="1" si="2"/>
        <v>22</v>
      </c>
      <c r="I23" s="163">
        <f t="shared" ca="1" si="2"/>
        <v>21</v>
      </c>
      <c r="J23" s="163">
        <f t="shared" ca="1" si="2"/>
        <v>17</v>
      </c>
      <c r="K23" s="163">
        <f t="shared" ca="1" si="2"/>
        <v>9</v>
      </c>
      <c r="L23" s="163">
        <f t="shared" ca="1" si="2"/>
        <v>16</v>
      </c>
      <c r="M23" s="163">
        <f t="shared" ca="1" si="2"/>
        <v>4</v>
      </c>
      <c r="N23" s="163">
        <f t="shared" ca="1" si="2"/>
        <v>4</v>
      </c>
      <c r="O23" s="163">
        <f t="shared" ca="1" si="2"/>
        <v>4</v>
      </c>
      <c r="P23" s="163">
        <f t="shared" ca="1" si="2"/>
        <v>7</v>
      </c>
      <c r="Q23" s="163">
        <f t="shared" ca="1" si="2"/>
        <v>3</v>
      </c>
      <c r="R23" s="163">
        <f t="shared" ca="1" si="2"/>
        <v>3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9</v>
      </c>
      <c r="F24" s="163">
        <f ca="1">IF(F20&gt;TODAY(), #N/A, SUM($E23:F23))</f>
        <v>18</v>
      </c>
      <c r="G24" s="163">
        <f ca="1">IF(G20&gt;TODAY(), #N/A, SUM($E23:G23))</f>
        <v>30</v>
      </c>
      <c r="H24" s="163">
        <f ca="1">IF(H20&gt;TODAY(), #N/A, SUM($E23:H23))</f>
        <v>52</v>
      </c>
      <c r="I24" s="163">
        <f ca="1">IF(I20&gt;TODAY(), #N/A, SUM($E23:I23))</f>
        <v>73</v>
      </c>
      <c r="J24" s="163">
        <f ca="1">IF(J20&gt;TODAY(), #N/A, SUM($E23:J23))</f>
        <v>90</v>
      </c>
      <c r="K24" s="163">
        <f ca="1">IF(K20&gt;TODAY(), #N/A, SUM($E23:K23))</f>
        <v>99</v>
      </c>
      <c r="L24" s="163">
        <f ca="1">IF(L20&gt;TODAY(), #N/A, SUM($E23:L23))</f>
        <v>115</v>
      </c>
      <c r="M24" s="163">
        <f ca="1">IF(M20&gt;TODAY(), #N/A, SUM($E23:M23))</f>
        <v>119</v>
      </c>
      <c r="N24" s="163">
        <f ca="1">IF(N20&gt;TODAY(), #N/A, SUM($E23:N23))</f>
        <v>123</v>
      </c>
      <c r="O24" s="163">
        <f ca="1">IF(O20&gt;TODAY(), #N/A, SUM($E23:O23))</f>
        <v>127</v>
      </c>
      <c r="P24" s="163">
        <f ca="1">IF(P20&gt;TODAY(), #N/A, SUM($E23:P23))</f>
        <v>134</v>
      </c>
      <c r="Q24" s="163">
        <f ca="1">IF(Q20&gt;TODAY(), #N/A, SUM($E23:Q23))</f>
        <v>137</v>
      </c>
      <c r="R24" s="163">
        <f ca="1">IF(R20&gt;TODAY(), #N/A, SUM($E23:R23))</f>
        <v>140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140</v>
      </c>
      <c r="F25" s="163">
        <f t="shared" ca="1" si="3"/>
        <v>140</v>
      </c>
      <c r="G25" s="163">
        <f t="shared" ca="1" si="3"/>
        <v>140</v>
      </c>
      <c r="H25" s="163">
        <f t="shared" ca="1" si="3"/>
        <v>140</v>
      </c>
      <c r="I25" s="163">
        <f t="shared" ca="1" si="3"/>
        <v>140</v>
      </c>
      <c r="J25" s="163">
        <f t="shared" ca="1" si="3"/>
        <v>140</v>
      </c>
      <c r="K25" s="163">
        <f t="shared" ca="1" si="3"/>
        <v>140</v>
      </c>
      <c r="L25" s="163">
        <f t="shared" ca="1" si="3"/>
        <v>140</v>
      </c>
      <c r="M25" s="163">
        <f t="shared" ca="1" si="3"/>
        <v>140</v>
      </c>
      <c r="N25" s="163">
        <f t="shared" ca="1" si="3"/>
        <v>140</v>
      </c>
      <c r="O25" s="163">
        <f t="shared" ca="1" si="3"/>
        <v>140</v>
      </c>
      <c r="P25" s="163">
        <f t="shared" ca="1" si="3"/>
        <v>140</v>
      </c>
      <c r="Q25" s="163">
        <f t="shared" ca="1" si="3"/>
        <v>140</v>
      </c>
      <c r="R25" s="163">
        <f t="shared" ca="1" si="3"/>
        <v>140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9</v>
      </c>
      <c r="F27" s="168">
        <f t="shared" ca="1" si="4"/>
        <v>9</v>
      </c>
      <c r="G27" s="168">
        <f t="shared" ca="1" si="4"/>
        <v>10</v>
      </c>
      <c r="H27" s="168">
        <f t="shared" ca="1" si="4"/>
        <v>13</v>
      </c>
      <c r="I27" s="168">
        <f t="shared" ca="1" si="4"/>
        <v>14.6</v>
      </c>
      <c r="J27" s="168">
        <f t="shared" ca="1" si="4"/>
        <v>15</v>
      </c>
      <c r="K27" s="168">
        <f t="shared" ca="1" si="4"/>
        <v>14.142857142857142</v>
      </c>
      <c r="L27" s="168">
        <f t="shared" ca="1" si="4"/>
        <v>14.375</v>
      </c>
      <c r="M27" s="168">
        <f t="shared" ca="1" si="4"/>
        <v>13.222222222222221</v>
      </c>
      <c r="N27" s="168">
        <f t="shared" ca="1" si="4"/>
        <v>12.3</v>
      </c>
      <c r="O27" s="168">
        <f t="shared" ca="1" si="4"/>
        <v>11.545454545454545</v>
      </c>
      <c r="P27" s="168">
        <f t="shared" ca="1" si="4"/>
        <v>11.166666666666666</v>
      </c>
      <c r="Q27" s="168">
        <f t="shared" ca="1" si="4"/>
        <v>10.538461538461538</v>
      </c>
      <c r="R27" s="168">
        <f t="shared" ca="1" si="4"/>
        <v>10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39328.555555555555</v>
      </c>
      <c r="F28" s="169">
        <f t="shared" ca="1" si="5"/>
        <v>39328.555555555555</v>
      </c>
      <c r="G28" s="169">
        <f t="shared" ca="1" si="5"/>
        <v>39327</v>
      </c>
      <c r="H28" s="169">
        <f t="shared" ca="1" si="5"/>
        <v>39323.769230769234</v>
      </c>
      <c r="I28" s="169">
        <f t="shared" ca="1" si="5"/>
        <v>39322.589041095889</v>
      </c>
      <c r="J28" s="169">
        <f t="shared" ca="1" si="5"/>
        <v>39322.333333333336</v>
      </c>
      <c r="K28" s="169">
        <f t="shared" ca="1" si="5"/>
        <v>39322.898989898989</v>
      </c>
      <c r="L28" s="169">
        <f t="shared" ca="1" si="5"/>
        <v>39322.739130434784</v>
      </c>
      <c r="M28" s="169">
        <f t="shared" ca="1" si="5"/>
        <v>39323.588235294119</v>
      </c>
      <c r="N28" s="169">
        <f t="shared" ca="1" si="5"/>
        <v>39324.382113821135</v>
      </c>
      <c r="O28" s="169">
        <f t="shared" ca="1" si="5"/>
        <v>39325.125984251972</v>
      </c>
      <c r="P28" s="169">
        <f t="shared" ca="1" si="5"/>
        <v>39325.537313432833</v>
      </c>
      <c r="Q28" s="169">
        <f t="shared" ca="1" si="5"/>
        <v>39326.284671532849</v>
      </c>
      <c r="R28" s="169">
        <f t="shared" ca="1" si="5"/>
        <v>39327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39314</v>
      </c>
      <c r="F29" s="169">
        <f t="shared" ca="1" si="6"/>
        <v>39314</v>
      </c>
      <c r="G29" s="169">
        <f t="shared" ca="1" si="6"/>
        <v>39314</v>
      </c>
      <c r="H29" s="169">
        <f t="shared" ca="1" si="6"/>
        <v>39314</v>
      </c>
      <c r="I29" s="169">
        <f t="shared" ca="1" si="6"/>
        <v>39314</v>
      </c>
      <c r="J29" s="169">
        <f t="shared" ca="1" si="6"/>
        <v>39314</v>
      </c>
      <c r="K29" s="169">
        <f t="shared" ca="1" si="6"/>
        <v>39314</v>
      </c>
      <c r="L29" s="169">
        <f t="shared" ca="1" si="6"/>
        <v>39327.933333333334</v>
      </c>
      <c r="M29" s="169">
        <f t="shared" ca="1" si="6"/>
        <v>39329.800000000003</v>
      </c>
      <c r="N29" s="169">
        <f t="shared" ca="1" si="6"/>
        <v>39331.666666666664</v>
      </c>
      <c r="O29" s="169">
        <f t="shared" ca="1" si="6"/>
        <v>39333.533333333333</v>
      </c>
      <c r="P29" s="169">
        <f t="shared" ca="1" si="6"/>
        <v>39335.4</v>
      </c>
      <c r="Q29" s="169">
        <f t="shared" ca="1" si="6"/>
        <v>39330.333333333336</v>
      </c>
      <c r="R29" s="169">
        <f t="shared" ca="1" si="6"/>
        <v>39327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65</v>
      </c>
      <c r="F31" s="165">
        <f t="shared" ca="1" si="7"/>
        <v>65</v>
      </c>
      <c r="G31" s="165">
        <f t="shared" ca="1" si="7"/>
        <v>65</v>
      </c>
      <c r="H31" s="165">
        <f t="shared" ca="1" si="7"/>
        <v>0</v>
      </c>
      <c r="I31" s="165">
        <f t="shared" ca="1" si="7"/>
        <v>0</v>
      </c>
      <c r="J31" s="165">
        <f t="shared" ca="1" si="7"/>
        <v>0</v>
      </c>
      <c r="K31" s="165">
        <f t="shared" ca="1" si="7"/>
        <v>0</v>
      </c>
      <c r="L31" s="165">
        <f t="shared" ca="1" si="7"/>
        <v>0</v>
      </c>
      <c r="M31" s="165">
        <f t="shared" ca="1" si="7"/>
        <v>0</v>
      </c>
      <c r="N31" s="165">
        <f t="shared" ca="1" si="7"/>
        <v>0</v>
      </c>
      <c r="O31" s="165">
        <f t="shared" ca="1" si="7"/>
        <v>0</v>
      </c>
      <c r="P31" s="165">
        <f t="shared" ca="1" si="7"/>
        <v>0</v>
      </c>
      <c r="Q31" s="165">
        <f t="shared" ca="1" si="7"/>
        <v>0</v>
      </c>
      <c r="R31" s="165">
        <f t="shared" ca="1" si="7"/>
        <v>0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75</v>
      </c>
      <c r="F32" s="170">
        <f t="shared" ca="1" si="8"/>
        <v>75</v>
      </c>
      <c r="G32" s="170">
        <f t="shared" ca="1" si="8"/>
        <v>75</v>
      </c>
      <c r="H32" s="170">
        <f t="shared" ca="1" si="8"/>
        <v>140</v>
      </c>
      <c r="I32" s="170">
        <f t="shared" ca="1" si="8"/>
        <v>140</v>
      </c>
      <c r="J32" s="170">
        <f t="shared" ca="1" si="8"/>
        <v>140</v>
      </c>
      <c r="K32" s="170">
        <f t="shared" ca="1" si="8"/>
        <v>140</v>
      </c>
      <c r="L32" s="170">
        <f t="shared" ca="1" si="8"/>
        <v>65</v>
      </c>
      <c r="M32" s="170">
        <f t="shared" ca="1" si="8"/>
        <v>65</v>
      </c>
      <c r="N32" s="170">
        <f t="shared" ca="1" si="8"/>
        <v>65</v>
      </c>
      <c r="O32" s="170">
        <f t="shared" ca="1" si="8"/>
        <v>65</v>
      </c>
      <c r="P32" s="170">
        <f t="shared" ca="1" si="8"/>
        <v>65</v>
      </c>
      <c r="Q32" s="170">
        <f t="shared" ca="1" si="8"/>
        <v>35</v>
      </c>
      <c r="R32" s="170">
        <f t="shared" ca="1" si="8"/>
        <v>0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0</v>
      </c>
      <c r="G33" s="165">
        <f t="shared" ca="1" si="9"/>
        <v>0</v>
      </c>
      <c r="H33" s="165">
        <f t="shared" ca="1" si="9"/>
        <v>0</v>
      </c>
      <c r="I33" s="165">
        <f t="shared" ca="1" si="9"/>
        <v>0</v>
      </c>
      <c r="J33" s="165">
        <f t="shared" ca="1" si="9"/>
        <v>0</v>
      </c>
      <c r="K33" s="165">
        <f t="shared" ca="1" si="9"/>
        <v>0</v>
      </c>
      <c r="L33" s="165">
        <f t="shared" ca="1" si="9"/>
        <v>75</v>
      </c>
      <c r="M33" s="165">
        <f t="shared" ca="1" si="9"/>
        <v>75</v>
      </c>
      <c r="N33" s="165">
        <f t="shared" ca="1" si="9"/>
        <v>75</v>
      </c>
      <c r="O33" s="165">
        <f t="shared" ca="1" si="9"/>
        <v>75</v>
      </c>
      <c r="P33" s="165">
        <f t="shared" ca="1" si="9"/>
        <v>75</v>
      </c>
      <c r="Q33" s="165">
        <f t="shared" ca="1" si="9"/>
        <v>105</v>
      </c>
      <c r="R33" s="165">
        <f t="shared" ca="1" si="9"/>
        <v>140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55</v>
      </c>
      <c r="F35" s="165">
        <f t="shared" ca="1" si="10"/>
        <v>55</v>
      </c>
      <c r="G35" s="165">
        <f t="shared" ca="1" si="10"/>
        <v>55</v>
      </c>
      <c r="H35" s="165">
        <f t="shared" ca="1" si="10"/>
        <v>53</v>
      </c>
      <c r="I35" s="165">
        <f t="shared" ca="1" si="10"/>
        <v>53</v>
      </c>
      <c r="J35" s="165">
        <f t="shared" ca="1" si="10"/>
        <v>53</v>
      </c>
      <c r="K35" s="165">
        <f t="shared" ca="1" si="10"/>
        <v>53</v>
      </c>
      <c r="L35" s="165">
        <f t="shared" ca="1" si="10"/>
        <v>53</v>
      </c>
      <c r="M35" s="165">
        <f t="shared" ca="1" si="10"/>
        <v>53</v>
      </c>
      <c r="N35" s="165">
        <f t="shared" ca="1" si="10"/>
        <v>53</v>
      </c>
      <c r="O35" s="165">
        <f t="shared" ca="1" si="10"/>
        <v>53</v>
      </c>
      <c r="P35" s="165">
        <f t="shared" ca="1" si="10"/>
        <v>53</v>
      </c>
      <c r="Q35" s="165">
        <f t="shared" ca="1" si="10"/>
        <v>53</v>
      </c>
      <c r="R35" s="165">
        <f t="shared" ca="1" si="10"/>
        <v>53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3</v>
      </c>
      <c r="F36" s="165">
        <f t="shared" ca="1" si="11"/>
        <v>3</v>
      </c>
      <c r="G36" s="165">
        <f t="shared" ca="1" si="11"/>
        <v>3</v>
      </c>
      <c r="H36" s="165">
        <f t="shared" ca="1" si="11"/>
        <v>5</v>
      </c>
      <c r="I36" s="165">
        <f t="shared" ca="1" si="11"/>
        <v>5</v>
      </c>
      <c r="J36" s="165">
        <f t="shared" ca="1" si="11"/>
        <v>5</v>
      </c>
      <c r="K36" s="165">
        <f t="shared" ca="1" si="11"/>
        <v>5</v>
      </c>
      <c r="L36" s="165">
        <f t="shared" ca="1" si="11"/>
        <v>2</v>
      </c>
      <c r="M36" s="165">
        <f t="shared" ca="1" si="11"/>
        <v>2</v>
      </c>
      <c r="N36" s="165">
        <f t="shared" ca="1" si="11"/>
        <v>2</v>
      </c>
      <c r="O36" s="165">
        <f t="shared" ca="1" si="11"/>
        <v>2</v>
      </c>
      <c r="P36" s="165">
        <f t="shared" ca="1" si="11"/>
        <v>2</v>
      </c>
      <c r="Q36" s="165">
        <f t="shared" ca="1" si="11"/>
        <v>1</v>
      </c>
      <c r="R36" s="165">
        <f t="shared" ca="1" si="11"/>
        <v>0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0</v>
      </c>
      <c r="G37" s="165">
        <f t="shared" ca="1" si="12"/>
        <v>0</v>
      </c>
      <c r="H37" s="165">
        <f t="shared" ca="1" si="12"/>
        <v>0</v>
      </c>
      <c r="I37" s="165">
        <f t="shared" ca="1" si="12"/>
        <v>0</v>
      </c>
      <c r="J37" s="165">
        <f t="shared" ca="1" si="12"/>
        <v>0</v>
      </c>
      <c r="K37" s="165">
        <f t="shared" ca="1" si="12"/>
        <v>0</v>
      </c>
      <c r="L37" s="165">
        <f t="shared" ca="1" si="12"/>
        <v>3</v>
      </c>
      <c r="M37" s="165">
        <f t="shared" ca="1" si="12"/>
        <v>3</v>
      </c>
      <c r="N37" s="165">
        <f t="shared" ca="1" si="12"/>
        <v>3</v>
      </c>
      <c r="O37" s="165">
        <f t="shared" ca="1" si="12"/>
        <v>3</v>
      </c>
      <c r="P37" s="165">
        <f t="shared" ca="1" si="12"/>
        <v>3</v>
      </c>
      <c r="Q37" s="165">
        <f t="shared" ca="1" si="12"/>
        <v>4</v>
      </c>
      <c r="R37" s="165">
        <f t="shared" ca="1" si="12"/>
        <v>5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10" sqref="E10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qui</v>
      </c>
      <c r="E2" s="48">
        <f ca="1">TODAY()</f>
        <v>42698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39314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3" t="s">
        <v>47</v>
      </c>
      <c r="C5" s="194"/>
      <c r="D5" s="194"/>
      <c r="E5" s="194"/>
      <c r="F5" s="194"/>
      <c r="G5" s="195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6"/>
      <c r="X6" s="197"/>
      <c r="Y6" s="197"/>
      <c r="Z6" s="197"/>
      <c r="AA6" s="197"/>
      <c r="AB6" s="198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2" t="s">
        <v>42</v>
      </c>
      <c r="X7" s="203"/>
      <c r="Y7" s="203"/>
      <c r="Z7" s="203"/>
      <c r="AA7" s="203"/>
      <c r="AB7" s="204"/>
    </row>
    <row r="8" spans="2:28" ht="13.5" thickBot="1" x14ac:dyDescent="0.25">
      <c r="B8" s="78" t="s">
        <v>37</v>
      </c>
      <c r="C8" s="79">
        <f>SUM(G8:G25)</f>
        <v>0</v>
      </c>
      <c r="D8" s="80"/>
      <c r="E8" s="81" t="s">
        <v>136</v>
      </c>
      <c r="F8" s="82">
        <v>1</v>
      </c>
      <c r="G8" s="83">
        <f>SUMIF(Sprint!$F$4:$F$1854,E8,Sprint!$AX$4:$AX$1854)</f>
        <v>0</v>
      </c>
      <c r="H8" s="84"/>
      <c r="I8" s="90">
        <f t="shared" ref="I8:J18" ca="1" si="2">IF(I$6&lt;$E$3,0,IF(ISBLANK($E8),0,IF(I$6&lt;$E$2,0,1)))</f>
        <v>1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199">
        <f t="shared" ref="W8:W25" ca="1" si="5">IF(E8="unassigned",0,(COUNTIF(I8:V8,1)*$C$6)*F8)</f>
        <v>8</v>
      </c>
      <c r="X8" s="200"/>
      <c r="Y8" s="200"/>
      <c r="Z8" s="200"/>
      <c r="AA8" s="200"/>
      <c r="AB8" s="201"/>
    </row>
    <row r="9" spans="2:28" ht="13.5" thickBot="1" x14ac:dyDescent="0.25">
      <c r="B9" s="87" t="s">
        <v>38</v>
      </c>
      <c r="C9" s="79">
        <f ca="1">SUM(W8:AB25)</f>
        <v>18.399999999999999</v>
      </c>
      <c r="D9" s="88"/>
      <c r="E9" s="18" t="s">
        <v>138</v>
      </c>
      <c r="F9" s="89">
        <v>1</v>
      </c>
      <c r="G9" s="83">
        <f>SUMIF(Sprint!$F$4:$F$1854,E9,Sprint!$AX$4:$AX$1854)</f>
        <v>0</v>
      </c>
      <c r="H9" s="84"/>
      <c r="I9" s="90">
        <f t="shared" ca="1" si="2"/>
        <v>1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199">
        <f t="shared" ca="1" si="5"/>
        <v>8</v>
      </c>
      <c r="X9" s="200"/>
      <c r="Y9" s="200"/>
      <c r="Z9" s="200"/>
      <c r="AA9" s="200"/>
      <c r="AB9" s="201"/>
    </row>
    <row r="10" spans="2:28" ht="13.5" thickBot="1" x14ac:dyDescent="0.25">
      <c r="B10" s="94" t="s">
        <v>39</v>
      </c>
      <c r="C10" s="95">
        <f ca="1">C8-C9</f>
        <v>-18.399999999999999</v>
      </c>
      <c r="D10" s="62"/>
      <c r="E10" s="18" t="s">
        <v>137</v>
      </c>
      <c r="F10" s="89">
        <v>0.3</v>
      </c>
      <c r="G10" s="83">
        <f>SUMIF(Sprint!$F$4:$F$1854,E10,Sprint!$AX$4:$AX$1854)</f>
        <v>0</v>
      </c>
      <c r="H10" s="84"/>
      <c r="I10" s="90">
        <f t="shared" ca="1" si="2"/>
        <v>1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199">
        <f t="shared" ca="1" si="5"/>
        <v>2.4</v>
      </c>
      <c r="X10" s="200"/>
      <c r="Y10" s="200"/>
      <c r="Z10" s="200"/>
      <c r="AA10" s="200"/>
      <c r="AB10" s="201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SUMIF(Sprint!$F$4:$F$1854,E11,Sprint!$AX$4:$AX$1854)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199">
        <f t="shared" si="5"/>
        <v>0</v>
      </c>
      <c r="X11" s="200"/>
      <c r="Y11" s="200"/>
      <c r="Z11" s="200"/>
      <c r="AA11" s="200"/>
      <c r="AB11" s="201"/>
    </row>
    <row r="12" spans="2:28" ht="13.5" thickBot="1" x14ac:dyDescent="0.25">
      <c r="B12" s="96"/>
      <c r="D12" s="97"/>
      <c r="E12" s="18"/>
      <c r="F12" s="89"/>
      <c r="G12" s="83">
        <f>SUMIF(Sprint!$F$4:$F$1854,E12,Sprint!$AX$4:$AX$1854)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199">
        <f t="shared" si="5"/>
        <v>0</v>
      </c>
      <c r="X12" s="200"/>
      <c r="Y12" s="200"/>
      <c r="Z12" s="200"/>
      <c r="AA12" s="200"/>
      <c r="AB12" s="201"/>
    </row>
    <row r="13" spans="2:28" ht="13.5" thickBot="1" x14ac:dyDescent="0.25">
      <c r="B13" s="96"/>
      <c r="D13" s="98"/>
      <c r="E13" s="18"/>
      <c r="F13" s="89"/>
      <c r="G13" s="83">
        <f>SUMIF(Sprint!$F$4:$F$1854,E13,Sprint!$AX$4:$AX$1854)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199">
        <f t="shared" si="5"/>
        <v>0</v>
      </c>
      <c r="X13" s="200"/>
      <c r="Y13" s="200"/>
      <c r="Z13" s="200"/>
      <c r="AA13" s="200"/>
      <c r="AB13" s="201"/>
    </row>
    <row r="14" spans="2:28" ht="13.5" thickBot="1" x14ac:dyDescent="0.25">
      <c r="B14" s="96"/>
      <c r="D14" s="62"/>
      <c r="E14" s="18"/>
      <c r="F14" s="89"/>
      <c r="G14" s="83">
        <f>SUMIF(Sprint!$F$4:$F$1854,E14,Sprint!$AX$4:$AX$1854)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199">
        <f t="shared" si="5"/>
        <v>0</v>
      </c>
      <c r="X14" s="200"/>
      <c r="Y14" s="200"/>
      <c r="Z14" s="200"/>
      <c r="AA14" s="200"/>
      <c r="AB14" s="201"/>
    </row>
    <row r="15" spans="2:28" ht="13.5" thickBot="1" x14ac:dyDescent="0.25">
      <c r="B15" s="96"/>
      <c r="D15" s="62"/>
      <c r="E15" s="18"/>
      <c r="F15" s="89"/>
      <c r="G15" s="83">
        <f>SUMIF(Sprint!$F$4:$F$1854,E15,Sprint!$AX$4:$AX$1854)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199">
        <f t="shared" si="5"/>
        <v>0</v>
      </c>
      <c r="X15" s="200"/>
      <c r="Y15" s="200"/>
      <c r="Z15" s="200"/>
      <c r="AA15" s="200"/>
      <c r="AB15" s="201"/>
    </row>
    <row r="16" spans="2:28" ht="13.5" thickBot="1" x14ac:dyDescent="0.25">
      <c r="B16" s="96"/>
      <c r="D16" s="98"/>
      <c r="E16" s="18"/>
      <c r="F16" s="89"/>
      <c r="G16" s="83">
        <f>SUMIF(Sprint!$F$4:$F$1854,E16,Sprint!$AX$4:$AX$1854)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199">
        <f t="shared" si="5"/>
        <v>0</v>
      </c>
      <c r="X16" s="200"/>
      <c r="Y16" s="200"/>
      <c r="Z16" s="200"/>
      <c r="AA16" s="200"/>
      <c r="AB16" s="201"/>
    </row>
    <row r="17" spans="2:28" ht="13.5" thickBot="1" x14ac:dyDescent="0.25">
      <c r="B17" s="96"/>
      <c r="D17" s="98"/>
      <c r="E17" s="18"/>
      <c r="F17" s="89"/>
      <c r="G17" s="83">
        <f>SUMIF(Sprint!$F$4:$F$1854,E17,Sprint!$AX$4:$AX$1854)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199">
        <f t="shared" si="5"/>
        <v>0</v>
      </c>
      <c r="X17" s="200"/>
      <c r="Y17" s="200"/>
      <c r="Z17" s="200"/>
      <c r="AA17" s="200"/>
      <c r="AB17" s="201"/>
    </row>
    <row r="18" spans="2:28" ht="13.5" thickBot="1" x14ac:dyDescent="0.25">
      <c r="B18" s="96"/>
      <c r="D18" s="98"/>
      <c r="E18" s="18"/>
      <c r="F18" s="89"/>
      <c r="G18" s="83">
        <f>SUMIF(Sprint!$F$4:$F$1854,E18,Sprint!$AX$4:$AX$1854)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199">
        <f t="shared" si="5"/>
        <v>0</v>
      </c>
      <c r="X18" s="200"/>
      <c r="Y18" s="200"/>
      <c r="Z18" s="200"/>
      <c r="AA18" s="200"/>
      <c r="AB18" s="201"/>
    </row>
    <row r="19" spans="2:28" ht="13.5" thickBot="1" x14ac:dyDescent="0.25">
      <c r="B19" s="96"/>
      <c r="D19" s="98"/>
      <c r="E19" s="18"/>
      <c r="F19" s="89"/>
      <c r="G19" s="83">
        <f>SUMIF(Sprint!$F$4:$F$1854,E19,Sprint!$AX$4:$AX$1854)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199">
        <f t="shared" si="5"/>
        <v>0</v>
      </c>
      <c r="X19" s="200"/>
      <c r="Y19" s="200"/>
      <c r="Z19" s="200"/>
      <c r="AA19" s="200"/>
      <c r="AB19" s="201"/>
    </row>
    <row r="20" spans="2:28" ht="13.5" thickBot="1" x14ac:dyDescent="0.25">
      <c r="B20" s="96"/>
      <c r="D20" s="98"/>
      <c r="E20" s="18"/>
      <c r="F20" s="89"/>
      <c r="G20" s="83">
        <f>SUMIF(Sprint!$F$4:$F$1854,E20,Sprint!$AX$4:$AX$1854)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199">
        <f t="shared" si="5"/>
        <v>0</v>
      </c>
      <c r="X20" s="200"/>
      <c r="Y20" s="200"/>
      <c r="Z20" s="200"/>
      <c r="AA20" s="200"/>
      <c r="AB20" s="201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SUMIF(Sprint!$F$4:$F$1854,E21,Sprint!$AX$4:$AX$1854)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199">
        <f t="shared" si="5"/>
        <v>0</v>
      </c>
      <c r="X21" s="200"/>
      <c r="Y21" s="200"/>
      <c r="Z21" s="200"/>
      <c r="AA21" s="200"/>
      <c r="AB21" s="201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SUMIF(Sprint!$F$4:$F$1854,E22,Sprint!$AX$4:$AX$1854)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199">
        <f t="shared" si="5"/>
        <v>0</v>
      </c>
      <c r="X22" s="200"/>
      <c r="Y22" s="200"/>
      <c r="Z22" s="200"/>
      <c r="AA22" s="200"/>
      <c r="AB22" s="201"/>
    </row>
    <row r="23" spans="2:28" ht="13.5" thickBot="1" x14ac:dyDescent="0.25">
      <c r="B23" s="70"/>
      <c r="D23" s="98"/>
      <c r="E23" s="18"/>
      <c r="F23" s="102"/>
      <c r="G23" s="83">
        <f>SUMIF(Sprint!$F$4:$F$1854,E23,Sprint!$AX$4:$AX$1854)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199">
        <f t="shared" si="5"/>
        <v>0</v>
      </c>
      <c r="X23" s="200"/>
      <c r="Y23" s="200"/>
      <c r="Z23" s="200"/>
      <c r="AA23" s="200"/>
      <c r="AB23" s="201"/>
    </row>
    <row r="24" spans="2:28" ht="13.5" thickBot="1" x14ac:dyDescent="0.25">
      <c r="B24" s="96"/>
      <c r="D24" s="98"/>
      <c r="E24" s="18"/>
      <c r="F24" s="102"/>
      <c r="G24" s="83">
        <f>SUMIF(Sprint!$F$4:$F$1854,E24,Sprint!$AX$4:$AX$1854)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199">
        <f t="shared" si="5"/>
        <v>0</v>
      </c>
      <c r="X24" s="200"/>
      <c r="Y24" s="200"/>
      <c r="Z24" s="200"/>
      <c r="AA24" s="200"/>
      <c r="AB24" s="201"/>
    </row>
    <row r="25" spans="2:28" ht="13.5" thickBot="1" x14ac:dyDescent="0.25">
      <c r="B25" s="96"/>
      <c r="D25" s="98"/>
      <c r="E25" s="103"/>
      <c r="F25" s="104"/>
      <c r="G25" s="83">
        <f>SUMIF(Sprint!$F$4:$F$1854,E25,Sprint!$AX$4:$AX$1854)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199">
        <f t="shared" si="5"/>
        <v>0</v>
      </c>
      <c r="X25" s="200"/>
      <c r="Y25" s="200"/>
      <c r="Z25" s="200"/>
      <c r="AA25" s="200"/>
      <c r="AB25" s="201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9" sqref="E9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97</v>
      </c>
      <c r="D6" s="131" t="s">
        <v>91</v>
      </c>
      <c r="E6" s="132" t="s">
        <v>96</v>
      </c>
      <c r="F6" s="133" t="s">
        <v>95</v>
      </c>
      <c r="G6" s="133" t="s">
        <v>99</v>
      </c>
      <c r="H6" s="134" t="s">
        <v>98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133</v>
      </c>
      <c r="D8" s="187" t="s">
        <v>136</v>
      </c>
      <c r="E8" s="141">
        <v>31998781566</v>
      </c>
      <c r="F8" s="142" t="s">
        <v>94</v>
      </c>
      <c r="G8" s="141" t="s">
        <v>100</v>
      </c>
      <c r="H8" s="141" t="s">
        <v>92</v>
      </c>
    </row>
    <row r="9" spans="2:8" x14ac:dyDescent="0.2">
      <c r="C9" s="140" t="s">
        <v>134</v>
      </c>
      <c r="D9" s="187" t="s">
        <v>137</v>
      </c>
      <c r="E9" s="141">
        <v>32999341885</v>
      </c>
      <c r="F9" s="142" t="s">
        <v>94</v>
      </c>
      <c r="G9" s="141" t="s">
        <v>100</v>
      </c>
      <c r="H9" s="141" t="s">
        <v>92</v>
      </c>
    </row>
    <row r="10" spans="2:8" ht="11.25" customHeight="1" x14ac:dyDescent="0.2">
      <c r="C10" s="140" t="s">
        <v>135</v>
      </c>
      <c r="D10" s="187" t="s">
        <v>138</v>
      </c>
      <c r="E10" s="141">
        <v>31983078774</v>
      </c>
      <c r="F10" s="142" t="s">
        <v>94</v>
      </c>
      <c r="G10" s="141" t="s">
        <v>100</v>
      </c>
      <c r="H10" s="141" t="s">
        <v>92</v>
      </c>
    </row>
    <row r="11" spans="2:8" x14ac:dyDescent="0.2">
      <c r="C11" s="140"/>
      <c r="D11" s="141"/>
      <c r="E11" s="141"/>
      <c r="F11" s="142"/>
      <c r="G11" s="141"/>
      <c r="H11" s="141"/>
    </row>
    <row r="12" spans="2:8" x14ac:dyDescent="0.2">
      <c r="C12" s="140"/>
      <c r="D12" s="141"/>
      <c r="E12" s="141"/>
      <c r="F12" s="142"/>
      <c r="G12" s="141"/>
      <c r="H12" s="141"/>
    </row>
    <row r="13" spans="2:8" x14ac:dyDescent="0.2">
      <c r="C13" s="140"/>
      <c r="D13" s="141"/>
      <c r="E13" s="141"/>
      <c r="F13" s="142"/>
      <c r="G13" s="141"/>
      <c r="H13" s="141"/>
    </row>
    <row r="14" spans="2:8" x14ac:dyDescent="0.2">
      <c r="C14" s="140"/>
      <c r="D14" s="141"/>
      <c r="E14" s="141"/>
      <c r="F14" s="142"/>
      <c r="G14" s="141"/>
      <c r="H14" s="141"/>
    </row>
    <row r="15" spans="2:8" x14ac:dyDescent="0.2">
      <c r="C15" s="140"/>
      <c r="D15" s="141"/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</hyperlinks>
  <pageMargins left="0.75" right="0.75" top="1" bottom="1" header="0.5" footer="0.5"/>
  <pageSetup paperSize="9" orientation="portrait" r:id="rId4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D7" sqref="D7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103</v>
      </c>
      <c r="B1" s="173"/>
    </row>
    <row r="2" spans="1:3" ht="15" x14ac:dyDescent="0.25">
      <c r="A2" s="174" t="s">
        <v>104</v>
      </c>
      <c r="B2" s="175">
        <f>COUNTIF(Sprint!$A$4:$A$92, "Feature")</f>
        <v>5</v>
      </c>
      <c r="C2" s="181">
        <f>B2/$B$6</f>
        <v>1</v>
      </c>
    </row>
    <row r="3" spans="1:3" ht="15" x14ac:dyDescent="0.25">
      <c r="A3" s="174" t="s">
        <v>105</v>
      </c>
      <c r="B3" s="175">
        <f>COUNTIF(Sprint!$A$4:$A$92, "Tax")</f>
        <v>0</v>
      </c>
      <c r="C3" s="181">
        <f t="shared" ref="C3:C5" si="0">B3/$B$6</f>
        <v>0</v>
      </c>
    </row>
    <row r="4" spans="1:3" ht="15" x14ac:dyDescent="0.25">
      <c r="A4" s="174" t="s">
        <v>106</v>
      </c>
      <c r="B4" s="175">
        <f>COUNTIF(Sprint!$A$4:$A$92, "Precondition")</f>
        <v>0</v>
      </c>
      <c r="C4" s="181">
        <f t="shared" si="0"/>
        <v>0</v>
      </c>
    </row>
    <row r="5" spans="1:3" ht="15" x14ac:dyDescent="0.25">
      <c r="A5" s="174" t="s">
        <v>107</v>
      </c>
      <c r="B5" s="175">
        <f>COUNTIF(Sprint!$A$4:$A$92, "Spike")</f>
        <v>0</v>
      </c>
      <c r="C5" s="181">
        <f t="shared" si="0"/>
        <v>0</v>
      </c>
    </row>
    <row r="6" spans="1:3" ht="15" x14ac:dyDescent="0.25">
      <c r="A6" s="176" t="s">
        <v>127</v>
      </c>
      <c r="B6" s="182">
        <f>SUM(B2:B5)</f>
        <v>5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108</v>
      </c>
      <c r="B8" s="175"/>
    </row>
    <row r="9" spans="1:3" ht="15" x14ac:dyDescent="0.25">
      <c r="A9" s="174" t="s">
        <v>109</v>
      </c>
      <c r="B9" s="175">
        <f>COUNTIF(Sprint!$B$4:$B$209, "Data Model")</f>
        <v>0</v>
      </c>
      <c r="C9" s="181">
        <f>B9/$B$25</f>
        <v>0</v>
      </c>
    </row>
    <row r="10" spans="1:3" ht="15" x14ac:dyDescent="0.25">
      <c r="A10" s="174" t="s">
        <v>110</v>
      </c>
      <c r="B10" s="175">
        <f>COUNTIF(Sprint!$B$4:$B$209, "Integration Model")</f>
        <v>0</v>
      </c>
      <c r="C10" s="181">
        <f>B10/$B$25</f>
        <v>0</v>
      </c>
    </row>
    <row r="11" spans="1:3" ht="15" x14ac:dyDescent="0.25">
      <c r="A11" s="174" t="s">
        <v>111</v>
      </c>
      <c r="B11" s="175">
        <f>COUNTIF(Sprint!$B$4:$B$209, "System Frameworks")</f>
        <v>0</v>
      </c>
      <c r="C11" s="181">
        <f>B11/$B$25</f>
        <v>0</v>
      </c>
    </row>
    <row r="12" spans="1:3" ht="15" x14ac:dyDescent="0.25">
      <c r="A12" s="174" t="s">
        <v>112</v>
      </c>
      <c r="B12" s="175">
        <f>COUNTIF(Sprint!$B$4:$B$209, "Data Conversions")</f>
        <v>0</v>
      </c>
      <c r="C12" s="181">
        <f t="shared" ref="C12:C24" si="1">B12/$B$25</f>
        <v>0</v>
      </c>
    </row>
    <row r="13" spans="1:3" ht="15" x14ac:dyDescent="0.25">
      <c r="A13" s="174" t="s">
        <v>113</v>
      </c>
      <c r="B13" s="175">
        <f>COUNTIF(Sprint!$B$4:$B$209, "Security")</f>
        <v>0</v>
      </c>
      <c r="C13" s="181">
        <f t="shared" si="1"/>
        <v>0</v>
      </c>
    </row>
    <row r="14" spans="1:3" ht="15" x14ac:dyDescent="0.25">
      <c r="A14" s="174" t="s">
        <v>114</v>
      </c>
      <c r="B14" s="175">
        <f>COUNTIF(Sprint!$B$4:$B$209, "Cash Payment Tracking")</f>
        <v>0</v>
      </c>
      <c r="C14" s="181">
        <f t="shared" si="1"/>
        <v>0</v>
      </c>
    </row>
    <row r="15" spans="1:3" ht="15" x14ac:dyDescent="0.25">
      <c r="A15" s="174" t="s">
        <v>115</v>
      </c>
      <c r="B15" s="175">
        <f>COUNTIF(Sprint!$B$4:$B$209, "Views")</f>
        <v>0</v>
      </c>
      <c r="C15" s="181">
        <f>B15/$B$25</f>
        <v>0</v>
      </c>
    </row>
    <row r="16" spans="1:3" ht="15" x14ac:dyDescent="0.25">
      <c r="A16" s="174" t="s">
        <v>116</v>
      </c>
      <c r="B16" s="175">
        <f>COUNTIF(Sprint!$B$4:$B$209, "Lookups")</f>
        <v>0</v>
      </c>
      <c r="C16" s="181">
        <f t="shared" si="1"/>
        <v>0</v>
      </c>
    </row>
    <row r="17" spans="1:3" ht="15" x14ac:dyDescent="0.25">
      <c r="A17" s="174" t="s">
        <v>117</v>
      </c>
      <c r="B17" s="175">
        <f>COUNTIF(Sprint!$B$4:$B$209, "Detail screens")</f>
        <v>0</v>
      </c>
      <c r="C17" s="181">
        <f t="shared" si="1"/>
        <v>0</v>
      </c>
    </row>
    <row r="18" spans="1:3" ht="15" x14ac:dyDescent="0.25">
      <c r="A18" s="174" t="s">
        <v>118</v>
      </c>
      <c r="B18" s="175">
        <f>COUNTIF(Sprint!$B$4:$B$209, "Notifications")</f>
        <v>0</v>
      </c>
      <c r="C18" s="181">
        <f t="shared" si="1"/>
        <v>0</v>
      </c>
    </row>
    <row r="19" spans="1:3" ht="15" x14ac:dyDescent="0.25">
      <c r="A19" s="174" t="s">
        <v>119</v>
      </c>
      <c r="B19" s="175">
        <f>COUNTIF(Sprint!$B$4:$B$209, "Reports")</f>
        <v>0</v>
      </c>
      <c r="C19" s="181">
        <f t="shared" si="1"/>
        <v>0</v>
      </c>
    </row>
    <row r="20" spans="1:3" ht="15" x14ac:dyDescent="0.25">
      <c r="A20" s="174" t="s">
        <v>120</v>
      </c>
      <c r="B20" s="175">
        <f>COUNTIF(Sprint!$B$4:$B$209, "Installation Package")</f>
        <v>0</v>
      </c>
      <c r="C20" s="181">
        <f t="shared" si="1"/>
        <v>0</v>
      </c>
    </row>
    <row r="21" spans="1:3" ht="15" x14ac:dyDescent="0.25">
      <c r="A21" s="174" t="s">
        <v>121</v>
      </c>
      <c r="B21" s="175">
        <f>COUNTIF(Sprint!$B$4:$B$209, "Deployment")</f>
        <v>0</v>
      </c>
      <c r="C21" s="181">
        <f t="shared" si="1"/>
        <v>0</v>
      </c>
    </row>
    <row r="22" spans="1:3" ht="15" x14ac:dyDescent="0.25">
      <c r="A22" s="174" t="s">
        <v>122</v>
      </c>
      <c r="B22" s="175">
        <f>COUNTIF(Sprint!$B$4:$B$209, "Documentation")</f>
        <v>5</v>
      </c>
      <c r="C22" s="181">
        <f t="shared" si="1"/>
        <v>1</v>
      </c>
    </row>
    <row r="23" spans="1:3" ht="15" x14ac:dyDescent="0.25">
      <c r="A23" s="174" t="s">
        <v>123</v>
      </c>
      <c r="B23" s="175">
        <f>COUNTIF(Sprint!$B$4:$B$209, "Testing")</f>
        <v>0</v>
      </c>
      <c r="C23" s="181">
        <f t="shared" si="1"/>
        <v>0</v>
      </c>
    </row>
    <row r="24" spans="1:3" ht="15" x14ac:dyDescent="0.25">
      <c r="A24" s="174" t="s">
        <v>124</v>
      </c>
      <c r="B24" s="175">
        <f>COUNTIF(Sprint!$B$4:$B$209, "Project Mgt")</f>
        <v>0</v>
      </c>
      <c r="C24" s="181">
        <f t="shared" si="1"/>
        <v>0</v>
      </c>
    </row>
    <row r="25" spans="1:3" ht="15" x14ac:dyDescent="0.25">
      <c r="A25" s="176" t="s">
        <v>127</v>
      </c>
      <c r="B25" s="180">
        <f>SUM(B9:B24)</f>
        <v>5</v>
      </c>
      <c r="C25" s="181">
        <f>SUM(C9:C24)</f>
        <v>1</v>
      </c>
    </row>
    <row r="27" spans="1:3" ht="15" x14ac:dyDescent="0.25">
      <c r="A27" s="179" t="s">
        <v>126</v>
      </c>
    </row>
    <row r="28" spans="1:3" ht="15" x14ac:dyDescent="0.25">
      <c r="A28" s="174" t="s">
        <v>128</v>
      </c>
      <c r="B28" s="175">
        <f ca="1">COUNTIF(Sprint!$G$4:$G$92, "Complete")</f>
        <v>0</v>
      </c>
      <c r="C28" s="181" t="e">
        <f ca="1">B28/$B$33</f>
        <v>#DIV/0!</v>
      </c>
    </row>
    <row r="29" spans="1:3" ht="15" x14ac:dyDescent="0.25">
      <c r="A29" s="174" t="s">
        <v>129</v>
      </c>
      <c r="B29" s="175">
        <f ca="1">COUNTIF(Sprint!$G$4:$G$92, "In Progress")</f>
        <v>0</v>
      </c>
      <c r="C29" s="181" t="e">
        <f t="shared" ref="C29:C32" ca="1" si="2">B29/$B$33</f>
        <v>#DIV/0!</v>
      </c>
    </row>
    <row r="30" spans="1:3" ht="15" x14ac:dyDescent="0.25">
      <c r="A30" s="174" t="s">
        <v>130</v>
      </c>
      <c r="B30" s="175">
        <f ca="1">COUNTIF(Sprint!$G$4:$G$92, "Pending")</f>
        <v>0</v>
      </c>
      <c r="C30" s="181" t="e">
        <f t="shared" ca="1" si="2"/>
        <v>#DIV/0!</v>
      </c>
    </row>
    <row r="31" spans="1:3" ht="15" x14ac:dyDescent="0.25">
      <c r="A31" s="174" t="s">
        <v>125</v>
      </c>
      <c r="B31" s="175">
        <f ca="1">COUNTIF(Sprint!$G$4:$G$92, "Postponed")</f>
        <v>0</v>
      </c>
      <c r="C31" s="181" t="e">
        <f t="shared" ca="1" si="2"/>
        <v>#DIV/0!</v>
      </c>
    </row>
    <row r="32" spans="1:3" ht="15" x14ac:dyDescent="0.25">
      <c r="A32" s="179" t="s">
        <v>131</v>
      </c>
      <c r="B32" s="175">
        <f ca="1">COUNTIF(Sprint!$G$4:$G$92, "Cancelled")</f>
        <v>0</v>
      </c>
      <c r="C32" s="181" t="e">
        <f t="shared" ca="1" si="2"/>
        <v>#DIV/0!</v>
      </c>
    </row>
    <row r="33" spans="1:3" ht="15" x14ac:dyDescent="0.25">
      <c r="A33" s="184" t="s">
        <v>127</v>
      </c>
      <c r="B33" s="185">
        <f ca="1">SUM(B28:B32)</f>
        <v>0</v>
      </c>
      <c r="C33" s="186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Witally</cp:lastModifiedBy>
  <cp:revision>1</cp:revision>
  <cp:lastPrinted>2005-08-15T09:18:22Z</cp:lastPrinted>
  <dcterms:created xsi:type="dcterms:W3CDTF">2005-01-26T21:50:47Z</dcterms:created>
  <dcterms:modified xsi:type="dcterms:W3CDTF">2016-11-24T18:24:18Z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